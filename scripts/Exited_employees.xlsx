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qib/Downloads/"/>
    </mc:Choice>
  </mc:AlternateContent>
  <xr:revisionPtr revIDLastSave="0" documentId="8_{FE0217F3-6A96-BB4C-AAE4-C3586D04587F}" xr6:coauthVersionLast="47" xr6:coauthVersionMax="47" xr10:uidLastSave="{00000000-0000-0000-0000-000000000000}"/>
  <bookViews>
    <workbookView xWindow="0" yWindow="660" windowWidth="34560" windowHeight="21680" xr2:uid="{25EC91AA-1331-E64D-8FC6-769E3E8A8A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0" i="1" l="1"/>
  <c r="O149" i="1"/>
  <c r="O148" i="1"/>
  <c r="O147" i="1"/>
  <c r="O146" i="1"/>
  <c r="O144" i="1"/>
  <c r="O143" i="1"/>
  <c r="O142" i="1"/>
  <c r="O141" i="1"/>
  <c r="O140" i="1"/>
  <c r="O139" i="1"/>
  <c r="O138" i="1"/>
  <c r="O137" i="1"/>
  <c r="O136" i="1"/>
  <c r="O135" i="1"/>
  <c r="O132" i="1"/>
  <c r="O131" i="1"/>
  <c r="O130" i="1"/>
  <c r="O129" i="1"/>
  <c r="O128" i="1"/>
  <c r="O127" i="1"/>
  <c r="O126" i="1"/>
  <c r="O124" i="1"/>
  <c r="O123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7" i="1"/>
  <c r="R106" i="1"/>
  <c r="O106" i="1"/>
  <c r="O105" i="1"/>
  <c r="O104" i="1"/>
  <c r="O103" i="1"/>
  <c r="O102" i="1"/>
  <c r="O99" i="1"/>
  <c r="O98" i="1"/>
  <c r="O97" i="1"/>
  <c r="O95" i="1"/>
  <c r="O94" i="1"/>
  <c r="O92" i="1"/>
  <c r="O90" i="1"/>
  <c r="R89" i="1"/>
  <c r="O89" i="1"/>
  <c r="O88" i="1"/>
  <c r="O85" i="1"/>
  <c r="O84" i="1"/>
  <c r="O83" i="1"/>
  <c r="O82" i="1"/>
  <c r="O81" i="1"/>
  <c r="O79" i="1"/>
  <c r="O78" i="1"/>
  <c r="O77" i="1"/>
  <c r="O75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R60" i="1"/>
  <c r="P60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5" i="1"/>
  <c r="O44" i="1"/>
  <c r="O43" i="1"/>
  <c r="O42" i="1"/>
  <c r="O39" i="1"/>
  <c r="O38" i="1"/>
  <c r="O37" i="1"/>
  <c r="O36" i="1"/>
  <c r="O35" i="1"/>
  <c r="O34" i="1"/>
  <c r="O33" i="1"/>
  <c r="O32" i="1"/>
  <c r="O30" i="1"/>
  <c r="O29" i="1"/>
  <c r="O28" i="1"/>
  <c r="O27" i="1"/>
  <c r="O26" i="1"/>
  <c r="O25" i="1"/>
  <c r="O24" i="1"/>
  <c r="O23" i="1"/>
  <c r="O22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4" i="1"/>
  <c r="O3" i="1"/>
</calcChain>
</file>

<file path=xl/sharedStrings.xml><?xml version="1.0" encoding="utf-8"?>
<sst xmlns="http://schemas.openxmlformats.org/spreadsheetml/2006/main" count="2327" uniqueCount="1431">
  <si>
    <t>Sr No.</t>
  </si>
  <si>
    <t>Emp ID</t>
  </si>
  <si>
    <t>Name</t>
  </si>
  <si>
    <t>Father Name</t>
  </si>
  <si>
    <t>Team</t>
  </si>
  <si>
    <t>Bill To - Company Name</t>
  </si>
  <si>
    <t>Department</t>
  </si>
  <si>
    <t>Designation</t>
  </si>
  <si>
    <t>Employee Status</t>
  </si>
  <si>
    <t>Date of Joining</t>
  </si>
  <si>
    <t>End of Probation</t>
  </si>
  <si>
    <t>CNIC</t>
  </si>
  <si>
    <t>Bank Name</t>
  </si>
  <si>
    <t>Bank Account</t>
  </si>
  <si>
    <t>Account Status</t>
  </si>
  <si>
    <t>Personal Contact No.</t>
  </si>
  <si>
    <t>Personal Email</t>
  </si>
  <si>
    <t>Emergency Contact No. (Parents / Siblings)</t>
  </si>
  <si>
    <t>Date of Birth</t>
  </si>
  <si>
    <t>Current Address</t>
  </si>
  <si>
    <t>Permanant Address</t>
  </si>
  <si>
    <t>Last Degree</t>
  </si>
  <si>
    <t>Blood Group</t>
  </si>
  <si>
    <t>Left Date</t>
  </si>
  <si>
    <t>Reason</t>
  </si>
  <si>
    <t>Previous Organization/Company Name</t>
  </si>
  <si>
    <t>Reference Check Details from Previous Employer (Contact Person Name and official phone number)</t>
  </si>
  <si>
    <t>SAL-113</t>
  </si>
  <si>
    <t>Waleed Malik</t>
  </si>
  <si>
    <t>Ameer Gul</t>
  </si>
  <si>
    <t>SJ Sales Team</t>
  </si>
  <si>
    <t>SJ Computers</t>
  </si>
  <si>
    <t>SJ Sales PT</t>
  </si>
  <si>
    <t>Procurement Specialist</t>
  </si>
  <si>
    <t>Permanent</t>
  </si>
  <si>
    <t>38403-2140761-7</t>
  </si>
  <si>
    <t>Habib Metro Ltd</t>
  </si>
  <si>
    <t>PK29MPBL9902177140120259</t>
  </si>
  <si>
    <t>waleed.malik24.wm@gmail.com</t>
  </si>
  <si>
    <t>0322-8607051</t>
  </si>
  <si>
    <t>house#E-679-SA muhallah Sadiqabad Rwp</t>
  </si>
  <si>
    <t>Karuli Dakh khana khas Chakwal</t>
  </si>
  <si>
    <t>Graduation</t>
  </si>
  <si>
    <t>O+</t>
  </si>
  <si>
    <t>Lay Off</t>
  </si>
  <si>
    <t>LRI-219</t>
  </si>
  <si>
    <t>Dr. Wafa Shah</t>
  </si>
  <si>
    <t>Mufarah Shah</t>
  </si>
  <si>
    <t>Billing &amp; Collection</t>
  </si>
  <si>
    <t xml:space="preserve">Administrative assistant </t>
  </si>
  <si>
    <t>16101-2914650-5</t>
  </si>
  <si>
    <t>Alfalah Bank</t>
  </si>
  <si>
    <t>Pk04ALFH0256001007171427</t>
  </si>
  <si>
    <t xml:space="preserve">Wafashah31@yahoo.com </t>
  </si>
  <si>
    <t>H#2058 street biakhail mardan city</t>
  </si>
  <si>
    <t>Pharm.D</t>
  </si>
  <si>
    <t>A+</t>
  </si>
  <si>
    <t>SAL-111</t>
  </si>
  <si>
    <t xml:space="preserve">Nawazish Jamal </t>
  </si>
  <si>
    <t>Muhammad Hussain</t>
  </si>
  <si>
    <t>SJ Sales Team B</t>
  </si>
  <si>
    <t xml:space="preserve">International Sales Executive </t>
  </si>
  <si>
    <t>Probation</t>
  </si>
  <si>
    <t>321027-271359-5</t>
  </si>
  <si>
    <t>Meezan Bank</t>
  </si>
  <si>
    <t>PK17MEZN0026730111250255</t>
  </si>
  <si>
    <t>03317772018</t>
  </si>
  <si>
    <t>zishikhanm07@gmail.com</t>
  </si>
  <si>
    <t>03350850144</t>
  </si>
  <si>
    <t>Ghauri town phase 4b street number 12 house number 562</t>
  </si>
  <si>
    <t>Mohala ahmadania, mana ahmadani sharqi, tehsil kot chutta district dera ghazi khan</t>
  </si>
  <si>
    <t>ICS</t>
  </si>
  <si>
    <t>LRI-180</t>
  </si>
  <si>
    <t xml:space="preserve">Adeel Afzal </t>
  </si>
  <si>
    <t>Muhammad Afzal</t>
  </si>
  <si>
    <t>NetSuite</t>
  </si>
  <si>
    <t>LRI</t>
  </si>
  <si>
    <t>LRI - NetSuite</t>
  </si>
  <si>
    <t>Senior NetSuite Developer</t>
  </si>
  <si>
    <t>N/A</t>
  </si>
  <si>
    <t>34603-9405991-1</t>
  </si>
  <si>
    <t>Bank Al Habib</t>
  </si>
  <si>
    <t>PK59BAHL0119098100525201</t>
  </si>
  <si>
    <t>+92 331 4403195</t>
  </si>
  <si>
    <t>adeelafzal574@gmail.com</t>
  </si>
  <si>
    <t>House no. E-190, Mohalla Number Daran Korey Pind Walton Road, Lahore Cantt, District Lahore</t>
  </si>
  <si>
    <t>Graduate</t>
  </si>
  <si>
    <t>Termination</t>
  </si>
  <si>
    <t>DM-164</t>
  </si>
  <si>
    <t>Muhammad Bilal Azam</t>
  </si>
  <si>
    <t>Muhammad Azam</t>
  </si>
  <si>
    <t xml:space="preserve">RTI Digital Team </t>
  </si>
  <si>
    <t>Multiple</t>
  </si>
  <si>
    <t>DM - RTI - EZ</t>
  </si>
  <si>
    <t>SEO Executive</t>
  </si>
  <si>
    <t>33303-8991213-5</t>
  </si>
  <si>
    <t>PK11MEZN0000300108482674</t>
  </si>
  <si>
    <t>03004747381 03018020400</t>
  </si>
  <si>
    <t>muhammadbilalazam6@gmail.com</t>
  </si>
  <si>
    <t>03018020400</t>
  </si>
  <si>
    <t>Chak No. 388JB Tehsil and District Toba Tek Singh</t>
  </si>
  <si>
    <t>Msc Computer Science</t>
  </si>
  <si>
    <t>DM-165</t>
  </si>
  <si>
    <t>Babar Nawaz</t>
  </si>
  <si>
    <t>Rab nawaz</t>
  </si>
  <si>
    <t>Jr. SEO Executive</t>
  </si>
  <si>
    <t>14301-8216430-1</t>
  </si>
  <si>
    <t>ABL</t>
  </si>
  <si>
    <t>PK16ABPA0010119396200019</t>
  </si>
  <si>
    <t>nawazbabar398@gmail.com</t>
  </si>
  <si>
    <t>03335567364</t>
  </si>
  <si>
    <t xml:space="preserve">House no#540, Street no#05, Model Town Hummak, Islamabad </t>
  </si>
  <si>
    <t>Chatni hujra, Usterzai payan, kohat</t>
  </si>
  <si>
    <t>BSSE(Software Engineering)</t>
  </si>
  <si>
    <t>AB+</t>
  </si>
  <si>
    <t>DM-166</t>
  </si>
  <si>
    <t>Syed Mustafa Hussain</t>
  </si>
  <si>
    <t xml:space="preserve">Syed Awais Imtaiz </t>
  </si>
  <si>
    <t>36401-2765018-5</t>
  </si>
  <si>
    <t xml:space="preserve">Bank Alfalah </t>
  </si>
  <si>
    <t>PK08ALFH0427001008252115</t>
  </si>
  <si>
    <t>syedm3326@gmail.com</t>
  </si>
  <si>
    <t>03017240663</t>
  </si>
  <si>
    <t xml:space="preserve">House no 11 Gulshan e jaleel Morgha More Rawalpindi </t>
  </si>
  <si>
    <t xml:space="preserve">House no 49 G block Thana Bazar ARIFWALA </t>
  </si>
  <si>
    <t xml:space="preserve">Bachelor in Software Engineer </t>
  </si>
  <si>
    <t>DM-167</t>
  </si>
  <si>
    <t>Muhammad Fahad Khan</t>
  </si>
  <si>
    <t>Muhammad Imran</t>
  </si>
  <si>
    <t>37405-6139583-9</t>
  </si>
  <si>
    <t>PK67ABPA0010075206390027</t>
  </si>
  <si>
    <t>fahadkingsman111@gmail.com</t>
  </si>
  <si>
    <t>03215534524</t>
  </si>
  <si>
    <t>House # CB-291/D, Lane 04, St. 01, near Noor Abdullah Masjid, Peshawar Road, Rawalpindi</t>
  </si>
  <si>
    <t>Software Engineer</t>
  </si>
  <si>
    <t>DM-184</t>
  </si>
  <si>
    <t xml:space="preserve">Behzad Ahmad </t>
  </si>
  <si>
    <t>Sajid Ali</t>
  </si>
  <si>
    <t>LRI - Digital Team</t>
  </si>
  <si>
    <t>DM - EZ</t>
  </si>
  <si>
    <t>33102-7239068-1</t>
  </si>
  <si>
    <t>PK79BAHL0167009500313101</t>
  </si>
  <si>
    <t>92 3059848789</t>
  </si>
  <si>
    <t>bahzadahmadseo@gmail.com</t>
  </si>
  <si>
    <t>92 3007244175</t>
  </si>
  <si>
    <t>Meet Market, House no 25/3, Chiniot Road, Chak Jhumra, Faisalabad</t>
  </si>
  <si>
    <t>Under Graduate</t>
  </si>
  <si>
    <t>DM-185</t>
  </si>
  <si>
    <t>Adeel Asghar</t>
  </si>
  <si>
    <t>Muhammad Asghar Ali Tahir</t>
  </si>
  <si>
    <t>LRI - Content Team</t>
  </si>
  <si>
    <t>Content Writer</t>
  </si>
  <si>
    <t>31303-8697819-5</t>
  </si>
  <si>
    <t>PK31BAHL0137098100686601</t>
  </si>
  <si>
    <t>adeelasghar.cw@gmail.com</t>
  </si>
  <si>
    <t>Sakhisarwar Colony, Street# 05, Rahim Yar Khan</t>
  </si>
  <si>
    <t>DM-186</t>
  </si>
  <si>
    <t>Istifa Ali</t>
  </si>
  <si>
    <t>Arab hussain</t>
  </si>
  <si>
    <t>Copywriter</t>
  </si>
  <si>
    <t>37201-6635747-7</t>
  </si>
  <si>
    <t>Bank Islami</t>
  </si>
  <si>
    <t>PK70BKIP0302900327190001</t>
  </si>
  <si>
    <t>istafaali642@gmail.com</t>
  </si>
  <si>
    <t>03345625779</t>
  </si>
  <si>
    <t>Qtr no 4/18 arf colony kamra</t>
  </si>
  <si>
    <t>Po box chak misri tehsil kallar kahar district chakwal</t>
  </si>
  <si>
    <t>Bs physics</t>
  </si>
  <si>
    <t>DM-188</t>
  </si>
  <si>
    <t>Ziad Satti</t>
  </si>
  <si>
    <t>Muhammad Jamil</t>
  </si>
  <si>
    <t>EP - SEO</t>
  </si>
  <si>
    <t>Eternal Perfumes</t>
  </si>
  <si>
    <t>DM - EP</t>
  </si>
  <si>
    <t>37405-1332363-1</t>
  </si>
  <si>
    <t>PK80BAHL5546182400288301</t>
  </si>
  <si>
    <t>03400861123</t>
  </si>
  <si>
    <t>ziadsatti141@gmail.com</t>
  </si>
  <si>
    <t>03040552587</t>
  </si>
  <si>
    <t>CB 300 Street 7 Mohallah Hajjian Allama Iqbal Colony Tench Bhatta Rawalpindi Centt</t>
  </si>
  <si>
    <t>DM-202</t>
  </si>
  <si>
    <t xml:space="preserve">Hassan Mohiuddin </t>
  </si>
  <si>
    <t xml:space="preserve">Naveed Akhtar </t>
  </si>
  <si>
    <t>Intern- Digital Team</t>
  </si>
  <si>
    <t>DM - RTI - Eternal - EZ</t>
  </si>
  <si>
    <t xml:space="preserve">SEO intern </t>
  </si>
  <si>
    <t>Internship</t>
  </si>
  <si>
    <t>#Cash</t>
  </si>
  <si>
    <t>Cash</t>
  </si>
  <si>
    <t>hassanmohiudin39@gmail.com</t>
  </si>
  <si>
    <t>03140597712</t>
  </si>
  <si>
    <t xml:space="preserve">House no CB-1157/3B, Street no 10, Groti Stop Rawalpindi </t>
  </si>
  <si>
    <t xml:space="preserve">Same as current </t>
  </si>
  <si>
    <t xml:space="preserve">Bachelor in Information Technology </t>
  </si>
  <si>
    <t>DM-204</t>
  </si>
  <si>
    <t>Muhammad Ahmad Usman</t>
  </si>
  <si>
    <t>Muhammad Aslam</t>
  </si>
  <si>
    <t>Intern SEO</t>
  </si>
  <si>
    <t>03175196916 / 03430077969</t>
  </si>
  <si>
    <t>ahmad.99technologies@gmail.com</t>
  </si>
  <si>
    <t>03455064496</t>
  </si>
  <si>
    <t>House No.5, Street No.15, Korang town, Safari block, Islamabad</t>
  </si>
  <si>
    <t>BBA-HR</t>
  </si>
  <si>
    <t>B+</t>
  </si>
  <si>
    <t>DM-205</t>
  </si>
  <si>
    <t>Sohail Abbas</t>
  </si>
  <si>
    <t>Ghulam Abbas</t>
  </si>
  <si>
    <t>Internship SEO</t>
  </si>
  <si>
    <t>+92 313-5235078 , +92 333-1488483</t>
  </si>
  <si>
    <t>abbassohailraja@gmail.com</t>
  </si>
  <si>
    <t>+92 331-5376258</t>
  </si>
  <si>
    <t>St#24, Misrial Road, New Chamanabad, Ghosia Chowk, Rawalpindi</t>
  </si>
  <si>
    <t>BS-Computer Science</t>
  </si>
  <si>
    <t>DM-138</t>
  </si>
  <si>
    <t>Haseeb Khan</t>
  </si>
  <si>
    <t>Ghulam Mustafa</t>
  </si>
  <si>
    <t>PC Mart</t>
  </si>
  <si>
    <t>OutReach Expert</t>
  </si>
  <si>
    <t>13302-0548345-9</t>
  </si>
  <si>
    <t>Habib Bank</t>
  </si>
  <si>
    <t>PK45HABB0024037918905403</t>
  </si>
  <si>
    <t>haseebmustafa862@gmail.com</t>
  </si>
  <si>
    <t>03095537651</t>
  </si>
  <si>
    <t>House.1201, Road.12, TIP Housing Scheme, Haripur, KPK</t>
  </si>
  <si>
    <t>MS MECHATRONICS ENGINEERING</t>
  </si>
  <si>
    <t>B-</t>
  </si>
  <si>
    <t>DEV-220</t>
  </si>
  <si>
    <t>Syed Muneeb Hussain Shah</t>
  </si>
  <si>
    <t>Syed Muzarrab Shah</t>
  </si>
  <si>
    <t>Dev Department</t>
  </si>
  <si>
    <t>web developer (Intern)</t>
  </si>
  <si>
    <t>14301-4564454-3</t>
  </si>
  <si>
    <t>PK84BAHL5536008100385001</t>
  </si>
  <si>
    <t>03331336628</t>
  </si>
  <si>
    <t>muneebhussain1224@gmail.com</t>
  </si>
  <si>
    <t>03333933303,03015892222</t>
  </si>
  <si>
    <t>Jangle Khel,House no 1182/135, Mohallah Mansoor Khel,Kohat</t>
  </si>
  <si>
    <t>BSSE</t>
  </si>
  <si>
    <t>DM-218</t>
  </si>
  <si>
    <t>Mohammad Srosh</t>
  </si>
  <si>
    <t xml:space="preserve">Digital Marketing </t>
  </si>
  <si>
    <t>Digital Content Manager</t>
  </si>
  <si>
    <t>42101-8065087-7</t>
  </si>
  <si>
    <t>Standered Charted</t>
  </si>
  <si>
    <t>PK68SCBL0000001019518201</t>
  </si>
  <si>
    <t>srosh.aslam@gmail.com</t>
  </si>
  <si>
    <t>House 127-B Usmania Society Nazimabad Karachi</t>
  </si>
  <si>
    <t>BS SE</t>
  </si>
  <si>
    <t>DEV-141</t>
  </si>
  <si>
    <t xml:space="preserve">Muhammad Zameer </t>
  </si>
  <si>
    <t>Sher Muhammad</t>
  </si>
  <si>
    <t>SJ Dev Team</t>
  </si>
  <si>
    <t>Dev SJ Brain Box</t>
  </si>
  <si>
    <t>Pythoin Developer</t>
  </si>
  <si>
    <t>81202-4087432-3</t>
  </si>
  <si>
    <t>PK34BAHL033509810016 0801</t>
  </si>
  <si>
    <t>mzamir.sher@gmail.com</t>
  </si>
  <si>
    <t>Palhatar Pang Piran, P/O, Tehisl, Distt. Kotli A.j.k</t>
  </si>
  <si>
    <t>Post Graduate</t>
  </si>
  <si>
    <t>Aziz Ur Rehman</t>
  </si>
  <si>
    <t>Abdul Aziz</t>
  </si>
  <si>
    <t xml:space="preserve">SJ Extra Resource </t>
  </si>
  <si>
    <t>Shopify Specialist</t>
  </si>
  <si>
    <t xml:space="preserve">E Commerce Specialis </t>
  </si>
  <si>
    <t>37405-5135536-9</t>
  </si>
  <si>
    <t>PK35MEZN0008070104688329</t>
  </si>
  <si>
    <t>azi40103@gmail.com</t>
  </si>
  <si>
    <t>21/1/1996</t>
  </si>
  <si>
    <t>H 105, kayani Street Ayub Colony, Chaklala Scheme 3,Rawalpindi</t>
  </si>
  <si>
    <t>MS PM</t>
  </si>
  <si>
    <t>SAL-123</t>
  </si>
  <si>
    <t xml:space="preserve">Farhan Irfan </t>
  </si>
  <si>
    <t>Muhammad Irfan</t>
  </si>
  <si>
    <t>SJ Email Marketing</t>
  </si>
  <si>
    <t>Email Marketing Specialist</t>
  </si>
  <si>
    <t>37405-5390150-9</t>
  </si>
  <si>
    <t>PK34MEZN0008280105851803</t>
  </si>
  <si>
    <t>03228548526</t>
  </si>
  <si>
    <t>farhanshyxz@gmail.com</t>
  </si>
  <si>
    <t>03356232383</t>
  </si>
  <si>
    <t>H#CB-292 St#1 Lane #4 Peshawar Road Rawalpindi</t>
  </si>
  <si>
    <t>Bs Mechanical Engineering</t>
  </si>
  <si>
    <t>DEV-209</t>
  </si>
  <si>
    <t>Laiba Saeed</t>
  </si>
  <si>
    <t xml:space="preserve">Saeed Khan </t>
  </si>
  <si>
    <t xml:space="preserve"> Dev Team</t>
  </si>
  <si>
    <t>Minnesota Computer</t>
  </si>
  <si>
    <t>Dev-Account Wise</t>
  </si>
  <si>
    <t xml:space="preserve">Software Engineer </t>
  </si>
  <si>
    <t>13101-1550358-2</t>
  </si>
  <si>
    <t>PK66MEZN0007050108180695</t>
  </si>
  <si>
    <t>0311 5636822</t>
  </si>
  <si>
    <t>laibasaeed538@gmail.com</t>
  </si>
  <si>
    <t>0319 5224024</t>
  </si>
  <si>
    <t xml:space="preserve">Upper Salhad, Abbottabad </t>
  </si>
  <si>
    <t xml:space="preserve">BS Computer Systems Engineering </t>
  </si>
  <si>
    <t>SAL-103</t>
  </si>
  <si>
    <t>Ibtesam Bin Sarwar</t>
  </si>
  <si>
    <t>Sarwar Hakim Khan</t>
  </si>
  <si>
    <t>SJ Sales Team A</t>
  </si>
  <si>
    <t>Sales Executive</t>
  </si>
  <si>
    <t>37405-7587524-7</t>
  </si>
  <si>
    <t>PK41BAHL5546182400292301</t>
  </si>
  <si>
    <t>03485153800</t>
  </si>
  <si>
    <t>ibtexxamxarwar@gmail.com</t>
  </si>
  <si>
    <t>03148168559</t>
  </si>
  <si>
    <t>Gulistan colony lane 7 shaheen chowk house no 786</t>
  </si>
  <si>
    <t>Sales </t>
  </si>
  <si>
    <t>DEV-150</t>
  </si>
  <si>
    <t xml:space="preserve">Warda Bibi </t>
  </si>
  <si>
    <t>Arif Hussain Shah</t>
  </si>
  <si>
    <t xml:space="preserve">Dev SJ Shipnest </t>
  </si>
  <si>
    <t>Backend Developer</t>
  </si>
  <si>
    <t>42401-9172461-6</t>
  </si>
  <si>
    <t>Faysal Bank</t>
  </si>
  <si>
    <t>PK46FAYS3235301000004292</t>
  </si>
  <si>
    <t>wardabibi69@gmail.com</t>
  </si>
  <si>
    <t>Faisal Colony P/O Sarae Saleh Ali Khan District Haripur</t>
  </si>
  <si>
    <t>LRI-181</t>
  </si>
  <si>
    <t>Syed Zubair Shah</t>
  </si>
  <si>
    <t>37101-4695741-5</t>
  </si>
  <si>
    <t>PK21HABB0023397901852103</t>
  </si>
  <si>
    <t>MB-229</t>
  </si>
  <si>
    <t>Muhammad Talal Akhtar</t>
  </si>
  <si>
    <t>Pevez Akhtar</t>
  </si>
  <si>
    <t>99 Tech</t>
  </si>
  <si>
    <t>Medical Billing</t>
  </si>
  <si>
    <t>Business Development Executive</t>
  </si>
  <si>
    <t>61101-4028505-7</t>
  </si>
  <si>
    <t>Faysal bank</t>
  </si>
  <si>
    <t>PK91FAYS3147475000004682</t>
  </si>
  <si>
    <t>03345043073</t>
  </si>
  <si>
    <t>akhter.talal@gmail.com</t>
  </si>
  <si>
    <t>03341055560</t>
  </si>
  <si>
    <t>House no: 60, Street no: 18, Block C, PWD</t>
  </si>
  <si>
    <t>BSc. Hons in Applied accounting</t>
  </si>
  <si>
    <t>DEV-213</t>
  </si>
  <si>
    <t>Asad khan</t>
  </si>
  <si>
    <t>Abdul wahab</t>
  </si>
  <si>
    <t>Dev</t>
  </si>
  <si>
    <t>Software engineer</t>
  </si>
  <si>
    <t>54203-2422982-7</t>
  </si>
  <si>
    <t>Bank Al Falah</t>
  </si>
  <si>
    <t>PK62ALFH0847001007820706</t>
  </si>
  <si>
    <t>03118491079</t>
  </si>
  <si>
    <t>asad.khan.achakzie@gmail.com</t>
  </si>
  <si>
    <t>03108234084</t>
  </si>
  <si>
    <t>Dak khana Killah abdullah, Arambie Kakozie, Tehsil wa zila Killah abdullah</t>
  </si>
  <si>
    <t>BS Software engineer</t>
  </si>
  <si>
    <t>Resign</t>
  </si>
  <si>
    <t>SAL-233</t>
  </si>
  <si>
    <t>Muhammad Talha Iftikhar</t>
  </si>
  <si>
    <t>Iftikhar Ahmed Khan</t>
  </si>
  <si>
    <t xml:space="preserve">International Sale </t>
  </si>
  <si>
    <t>Key Account Manager</t>
  </si>
  <si>
    <t>42301-8643693-7</t>
  </si>
  <si>
    <t>Habib Bank (HBL)</t>
  </si>
  <si>
    <t>PK93HABB0000577901155003</t>
  </si>
  <si>
    <t>03362181410</t>
  </si>
  <si>
    <t>talhaiftikharwork@gmail.com</t>
  </si>
  <si>
    <t>03112527547</t>
  </si>
  <si>
    <t>684, street 23, sector G, phase 8, Bahria Town, Rawalpindi</t>
  </si>
  <si>
    <t>BS Psy</t>
  </si>
  <si>
    <t>DEV-152</t>
  </si>
  <si>
    <t>Hareem Ahmed</t>
  </si>
  <si>
    <t>Israr Ahmed Janjua</t>
  </si>
  <si>
    <t>37405-9682271-0</t>
  </si>
  <si>
    <t>Askari Bank</t>
  </si>
  <si>
    <t>PK05ASCM0000010320233195</t>
  </si>
  <si>
    <t>ahareem134@gmail.com</t>
  </si>
  <si>
    <t>FLat 33E, Askari 7, Rawalpindi</t>
  </si>
  <si>
    <t>House No 170/C, Tench Bhatta, Rawalpindi</t>
  </si>
  <si>
    <t xml:space="preserve">Bachelors </t>
  </si>
  <si>
    <t>DEV-224</t>
  </si>
  <si>
    <t>Muhammad Furqan</t>
  </si>
  <si>
    <t>Muhammad Tehseen</t>
  </si>
  <si>
    <t xml:space="preserve">Dev Department  </t>
  </si>
  <si>
    <t>Senior Software Engineer</t>
  </si>
  <si>
    <t>61101-7005296-1</t>
  </si>
  <si>
    <t>ALLIED BANK LIMITED</t>
  </si>
  <si>
    <t>PK07ABPA0010024207910018</t>
  </si>
  <si>
    <t>03295705952</t>
  </si>
  <si>
    <t>furqan.cloud.dev@gmail.com</t>
  </si>
  <si>
    <t>D-1/2 Sector G-9/2 Islamabad</t>
  </si>
  <si>
    <t>Masters Electronics</t>
  </si>
  <si>
    <t>A positive</t>
  </si>
  <si>
    <t>MB-232</t>
  </si>
  <si>
    <t>Bakhtawar Tariq</t>
  </si>
  <si>
    <t>Muhammad Tariq</t>
  </si>
  <si>
    <t>Billing &amp; Collection (Sales)</t>
  </si>
  <si>
    <t>Business Development Specialist</t>
  </si>
  <si>
    <t>11101-0234182-4</t>
  </si>
  <si>
    <t>PK89SCBL0000001015024201</t>
  </si>
  <si>
    <t>03495964830</t>
  </si>
  <si>
    <t>Eshaalawan007@gmail.com</t>
  </si>
  <si>
    <t>Bannu</t>
  </si>
  <si>
    <t>Bachelors</t>
  </si>
  <si>
    <t>o+</t>
  </si>
  <si>
    <t>MB-238</t>
  </si>
  <si>
    <t>Muhammad Rizwan Tahir</t>
  </si>
  <si>
    <t>Tahir Mehmood</t>
  </si>
  <si>
    <t>61101-4911623-3</t>
  </si>
  <si>
    <t>PK87ABPA0010087416260011</t>
  </si>
  <si>
    <t>0330-9232937 (other one 0311-5376379)</t>
  </si>
  <si>
    <t>pak368528@gmail.com</t>
  </si>
  <si>
    <t>0337-0337655</t>
  </si>
  <si>
    <t>Nai Abadi, Madina town, Ali Pur Islamabad</t>
  </si>
  <si>
    <t>Stenography</t>
  </si>
  <si>
    <t>SAL-102</t>
  </si>
  <si>
    <t xml:space="preserve">Fahad Janjua </t>
  </si>
  <si>
    <t>Talat Mehmood</t>
  </si>
  <si>
    <t>37402-6201797-5</t>
  </si>
  <si>
    <t>PK25BAHL5546182400292201</t>
  </si>
  <si>
    <t>0307-8907228</t>
  </si>
  <si>
    <t>fahadjanjua111@gmail.com</t>
  </si>
  <si>
    <t>+92 333 1940919</t>
  </si>
  <si>
    <t>H#738, st 93, sec 3, Gulshanabad, Adyala Rd, RWP.</t>
  </si>
  <si>
    <t>B.A</t>
  </si>
  <si>
    <t>EP-189</t>
  </si>
  <si>
    <t>Waleed Sulehri</t>
  </si>
  <si>
    <t>Shahid Mehmood Sulehri</t>
  </si>
  <si>
    <t>EP - Customer Support</t>
  </si>
  <si>
    <t>BD-EP</t>
  </si>
  <si>
    <t xml:space="preserve">Business development specialist </t>
  </si>
  <si>
    <t>42201-9618128-3</t>
  </si>
  <si>
    <t>UBL</t>
  </si>
  <si>
    <t>PK85UNIL0109000315001521</t>
  </si>
  <si>
    <t>03354431984</t>
  </si>
  <si>
    <t>sulehriwaleed@outlook.com</t>
  </si>
  <si>
    <t>03334431984</t>
  </si>
  <si>
    <t>Bahria Town Phase 5 Street 18 Road C</t>
  </si>
  <si>
    <t>Bachelors of Science</t>
  </si>
  <si>
    <t>DEV-154</t>
  </si>
  <si>
    <t>Muhammad Ezaan Ali</t>
  </si>
  <si>
    <t>Muhammad Lehrasib</t>
  </si>
  <si>
    <t>SJ Dev Intern</t>
  </si>
  <si>
    <t xml:space="preserve">Intern Software Engineer </t>
  </si>
  <si>
    <t>6110155657367</t>
  </si>
  <si>
    <t>PK53FAYS3102786000004511</t>
  </si>
  <si>
    <t>03365586848</t>
  </si>
  <si>
    <t>izaansatti@gmail.com</t>
  </si>
  <si>
    <t>03155667107</t>
  </si>
  <si>
    <t>H# 62, St# 4, Madina Town, Post Office Tarlai Kallan, Khanna Dak, Islamabad</t>
  </si>
  <si>
    <t>Lower Kotli, Post Office Kotli Sattian, Kotli, Tehsil KotliSattian, District Rawalpindi</t>
  </si>
  <si>
    <t>Bachelors in Software Engineering</t>
  </si>
  <si>
    <t>AB +</t>
  </si>
  <si>
    <t>DEV-242</t>
  </si>
  <si>
    <t>Ali Raza</t>
  </si>
  <si>
    <t>Abad Ali</t>
  </si>
  <si>
    <t>VOIP + SMS</t>
  </si>
  <si>
    <t>Remote Full Stack Consultant</t>
  </si>
  <si>
    <t>45301-2616540-3</t>
  </si>
  <si>
    <t>Bank Alfalah (DIGITOLS)</t>
  </si>
  <si>
    <t>PK84ALFH5572005001662753</t>
  </si>
  <si>
    <t>03131266254</t>
  </si>
  <si>
    <t>nowaliraza@gmail.com</t>
  </si>
  <si>
    <t>03003625876</t>
  </si>
  <si>
    <t>Ward no. 03 Muhalla Shahi Bazaar Bhiria Road Tehsil Bhiria Dist. naushehro Feroze</t>
  </si>
  <si>
    <t>Bachelor of Engineering Mechanical Engineering</t>
  </si>
  <si>
    <t>AB-</t>
  </si>
  <si>
    <t>LRI-175</t>
  </si>
  <si>
    <t xml:space="preserve">Taqi Asfahani </t>
  </si>
  <si>
    <t>LRI - Back Office</t>
  </si>
  <si>
    <t>LRI - Collections</t>
  </si>
  <si>
    <t>Account Collection Manager</t>
  </si>
  <si>
    <t>37405-1360522-1</t>
  </si>
  <si>
    <t>PK95BAHL5546182400298701</t>
  </si>
  <si>
    <t>Faisal Shahzad</t>
  </si>
  <si>
    <t xml:space="preserve">Abdul Rasool </t>
  </si>
  <si>
    <t>99Tech</t>
  </si>
  <si>
    <t>Human Resource</t>
  </si>
  <si>
    <t>HR Specialist</t>
  </si>
  <si>
    <t>37203-8794009-9</t>
  </si>
  <si>
    <t>PK24BAHL5546182400292801</t>
  </si>
  <si>
    <t>0332 9311796</t>
  </si>
  <si>
    <t>shazi1234@gmsil.com</t>
  </si>
  <si>
    <t>0300 5932694</t>
  </si>
  <si>
    <t>House # 719 Street #97 Sector # 03 Gulshanabad, Adiala Road Rawalpindi</t>
  </si>
  <si>
    <t xml:space="preserve">Master Business Studies </t>
  </si>
  <si>
    <t>SAL-176</t>
  </si>
  <si>
    <t>Ali Haider</t>
  </si>
  <si>
    <t>Adnan Iqbal</t>
  </si>
  <si>
    <t>LRI - Sales</t>
  </si>
  <si>
    <t xml:space="preserve">LG </t>
  </si>
  <si>
    <t>Lead Generation</t>
  </si>
  <si>
    <t>37203-2327286-3</t>
  </si>
  <si>
    <t>PK32BAHL0167009500312201</t>
  </si>
  <si>
    <t>St No: 2, Near Attock Pump, Bhatti Town, Islamabad Expressway, Islamabad</t>
  </si>
  <si>
    <t>Martic</t>
  </si>
  <si>
    <t>SAL-178</t>
  </si>
  <si>
    <t>Usman Amjad</t>
  </si>
  <si>
    <t>Muhammad Amjad</t>
  </si>
  <si>
    <t>Lead Gen Executive</t>
  </si>
  <si>
    <t>37405-9026434-3</t>
  </si>
  <si>
    <t>PK72BAHL5546182400293101</t>
  </si>
  <si>
    <t>03341804982</t>
  </si>
  <si>
    <t>usman8023@gmail.com</t>
  </si>
  <si>
    <t>03065566463</t>
  </si>
  <si>
    <t>House no # 3, street no #13D Police Colony, Koral Chowk, Islamabad</t>
  </si>
  <si>
    <t>SAL-249</t>
  </si>
  <si>
    <t>Muhammad Ali</t>
  </si>
  <si>
    <t>Tahir Iqbal</t>
  </si>
  <si>
    <t>Sales</t>
  </si>
  <si>
    <t>37405-4032335-5</t>
  </si>
  <si>
    <t>PK94ALFH0008001007951514</t>
  </si>
  <si>
    <t>Alimirza2975@gmail.com</t>
  </si>
  <si>
    <t>House # CB-29 Dhoke Kashmirian Chaklala Rawalpindi</t>
  </si>
  <si>
    <t>BS Physics</t>
  </si>
  <si>
    <t>DEV-241</t>
  </si>
  <si>
    <t>Mirza Mudassar Iftikhar</t>
  </si>
  <si>
    <t>Iftikhar Ali baig</t>
  </si>
  <si>
    <t>World Wide Express</t>
  </si>
  <si>
    <t>37401-1979868-3</t>
  </si>
  <si>
    <t>PK30SCBL0000001724226601</t>
  </si>
  <si>
    <t>03152330999</t>
  </si>
  <si>
    <t>mrmudassarbaig@hotmail.com</t>
  </si>
  <si>
    <t>03165000624</t>
  </si>
  <si>
    <t>p o dulmi tama gujar khan rawalpindi</t>
  </si>
  <si>
    <t xml:space="preserve">BS Computer Science </t>
  </si>
  <si>
    <t>Job Complete</t>
  </si>
  <si>
    <t>MB-227</t>
  </si>
  <si>
    <t>Sohaib Siddiqui</t>
  </si>
  <si>
    <t>Muhammad Zaman Siddiqui</t>
  </si>
  <si>
    <t>Director Medical Billing</t>
  </si>
  <si>
    <t>37405-0227360-5</t>
  </si>
  <si>
    <t>PK50ABPA0010051898080010</t>
  </si>
  <si>
    <t>0345-9216747, 0322-4597420</t>
  </si>
  <si>
    <t>soby.sobers@gmail.com</t>
  </si>
  <si>
    <t xml:space="preserve">Zubair Ahmed Siddiqui (Uncle) 0322-4100474, Semad Siddiqui (Brother) 0315-5411830 </t>
  </si>
  <si>
    <t>House # 8, Street # 10, Mian Chock, Canal Point Scheme, Harbanspura, Lahore</t>
  </si>
  <si>
    <t>DHA Villas # 351, Sector F, Phase 1, Islamabad</t>
  </si>
  <si>
    <t>SAL-109</t>
  </si>
  <si>
    <t xml:space="preserve">Muhammad Shoaib Shah </t>
  </si>
  <si>
    <t xml:space="preserve">Shah Muhammad </t>
  </si>
  <si>
    <t>Account Manager</t>
  </si>
  <si>
    <t>37405-3147494-3</t>
  </si>
  <si>
    <t>PK54BAHL5546182400294201</t>
  </si>
  <si>
    <t>03135777125</t>
  </si>
  <si>
    <t>m.shoaib.shah1207@gmail.com</t>
  </si>
  <si>
    <t>03160517705</t>
  </si>
  <si>
    <t>main street Shabbir lane Peshawar Road Rawalpindi</t>
  </si>
  <si>
    <t>Mohalla baqqa street man-o-jaan road Quetta</t>
  </si>
  <si>
    <t>SAL-261</t>
  </si>
  <si>
    <t>Daniyal younus soomro</t>
  </si>
  <si>
    <t>Muhammad younus</t>
  </si>
  <si>
    <t>Sales Operation</t>
  </si>
  <si>
    <t>Vendor management executive</t>
  </si>
  <si>
    <t>41302-0786420-9</t>
  </si>
  <si>
    <t xml:space="preserve">UBL (United Bank Limited) </t>
  </si>
  <si>
    <t>PK91UNIL0109000306263653</t>
  </si>
  <si>
    <t>soomrodaniyal4@gmail.com</t>
  </si>
  <si>
    <t>Bahria town phase 8 main bilal habshi road umer block house 181</t>
  </si>
  <si>
    <t>Bahria town phase 8 main bilal habshi road umer block</t>
  </si>
  <si>
    <t>Bs in IT</t>
  </si>
  <si>
    <t>Modisoft inc</t>
  </si>
  <si>
    <t>Muhammad Danish (admin manager)+92 313 2059501</t>
  </si>
  <si>
    <t>SAL-239</t>
  </si>
  <si>
    <t>Fatima Tu Zehra</t>
  </si>
  <si>
    <t>Syed Amir Shah</t>
  </si>
  <si>
    <t xml:space="preserve">Key Account Manager </t>
  </si>
  <si>
    <t>37405-8795163-8</t>
  </si>
  <si>
    <t>PK84ASCM0002170100004805</t>
  </si>
  <si>
    <t>03125002922</t>
  </si>
  <si>
    <t>Fatima_790@hotmail.com</t>
  </si>
  <si>
    <t>03345096902</t>
  </si>
  <si>
    <t>Defence Residency, Block 17, 2nd floor, 211, DHA 2, Islamabad</t>
  </si>
  <si>
    <t>same as above (yet to be updated)</t>
  </si>
  <si>
    <t>F.Sc</t>
  </si>
  <si>
    <t>SAL-243</t>
  </si>
  <si>
    <t>Abdul Rehman Khan</t>
  </si>
  <si>
    <t>FAHIM ATHAR KHAN</t>
  </si>
  <si>
    <t>TL AE</t>
  </si>
  <si>
    <t>37405-2556052-5</t>
  </si>
  <si>
    <t>PK48ABPA0010036570170019</t>
  </si>
  <si>
    <t>abdul97rehmankhan@gmail.com</t>
  </si>
  <si>
    <t>H 132- A ST 20 GULZAR-E-QUAID RAWALPINDI</t>
  </si>
  <si>
    <t>BBA</t>
  </si>
  <si>
    <t>EP-187</t>
  </si>
  <si>
    <t xml:space="preserve">Touseef Khan </t>
  </si>
  <si>
    <t>Muhammad Ilyas</t>
  </si>
  <si>
    <t>13302-0273616-7</t>
  </si>
  <si>
    <t>PK65BAHL0167009500311801</t>
  </si>
  <si>
    <t>923068552819</t>
  </si>
  <si>
    <t>ktousif10@gmail.com</t>
  </si>
  <si>
    <t>House 268, Street 70, G-8/1, Islamabad</t>
  </si>
  <si>
    <t>SAL-240</t>
  </si>
  <si>
    <t>Hammad Hussain</t>
  </si>
  <si>
    <t>Saleem Iftikhar</t>
  </si>
  <si>
    <t>Sr. key Account Manager</t>
  </si>
  <si>
    <t>37405-1574610-9</t>
  </si>
  <si>
    <t>PK28ASCM0007240200016973</t>
  </si>
  <si>
    <t>03365249451</t>
  </si>
  <si>
    <t>hussainhammad118@gmail.com</t>
  </si>
  <si>
    <t>03345418839</t>
  </si>
  <si>
    <t>House No CB 1073 street No 3Meharabad colony peshawar road rawalpindi</t>
  </si>
  <si>
    <t>Bachelors in Business Adminstration ( Marketing )</t>
  </si>
  <si>
    <t>0+</t>
  </si>
  <si>
    <t>SAL-251</t>
  </si>
  <si>
    <t>Raja Hassan Ali</t>
  </si>
  <si>
    <t>Raja Shaukat Ali</t>
  </si>
  <si>
    <t>Accounts Excutive</t>
  </si>
  <si>
    <t>37405-8184833-3</t>
  </si>
  <si>
    <t>PK45ALFH0408001008563090</t>
  </si>
  <si>
    <t>alihassanraja708@gmail.com</t>
  </si>
  <si>
    <t>Street Raja Sarwar, House 10C, Lane 7 Gulistan Colony, Rawalpindi Cantt, Rawalpindi</t>
  </si>
  <si>
    <t>Hospitality Management And Tourism DAE</t>
  </si>
  <si>
    <t>-B</t>
  </si>
  <si>
    <t>SAL-252</t>
  </si>
  <si>
    <t>Muhammad Hammad Aleem</t>
  </si>
  <si>
    <t>Aleem Arshad</t>
  </si>
  <si>
    <t>Account Executive</t>
  </si>
  <si>
    <t>61101-9431355-1</t>
  </si>
  <si>
    <t>PK63UNIL0109000287150986</t>
  </si>
  <si>
    <t>0334-9669992</t>
  </si>
  <si>
    <t>hammadaleem01@gmail.com</t>
  </si>
  <si>
    <t>hno 556 st 27 phase 3 bahria town Islamabad</t>
  </si>
  <si>
    <t>bachelors in business administration</t>
  </si>
  <si>
    <t>SAL-257</t>
  </si>
  <si>
    <t>Asad ur rehhman</t>
  </si>
  <si>
    <t>International Sale</t>
  </si>
  <si>
    <t>31102-7761775-9</t>
  </si>
  <si>
    <t>PK31ALFH5749005001828390</t>
  </si>
  <si>
    <t>asadurrehman99369@gmail.com</t>
  </si>
  <si>
    <t>House 110 Street 4 Sabza Zar Housing scheme Bahawalpur</t>
  </si>
  <si>
    <t>Nebosh</t>
  </si>
  <si>
    <t>SAL-258</t>
  </si>
  <si>
    <t>Ali Murtaza</t>
  </si>
  <si>
    <t>Usman Murtaza Sheikh</t>
  </si>
  <si>
    <t>37405-9433843-1</t>
  </si>
  <si>
    <t>PK31UNIL0109000288680282</t>
  </si>
  <si>
    <t>0302-5202303</t>
  </si>
  <si>
    <t>alimurtaza1089@gmail.com</t>
  </si>
  <si>
    <t>0323-5300328</t>
  </si>
  <si>
    <t>House#17B, Street#10, Abu Turab Block, Gulzar-e-Quaid Airport Housing Society.</t>
  </si>
  <si>
    <t>I.C.S (Statistics)</t>
  </si>
  <si>
    <t>SAL-259</t>
  </si>
  <si>
    <t>Sajjad Ali</t>
  </si>
  <si>
    <t>Qurban ali</t>
  </si>
  <si>
    <t>Account executive</t>
  </si>
  <si>
    <t>54400-8485944-7</t>
  </si>
  <si>
    <t>Silk Bank</t>
  </si>
  <si>
    <t>Pk59SAUD0000652010751309</t>
  </si>
  <si>
    <t>jamesrugal@gmail.com</t>
  </si>
  <si>
    <t>house# 10, Street# 109, E-block ,Jinnah garden islamabad</t>
  </si>
  <si>
    <t>statistics</t>
  </si>
  <si>
    <t>SAL-260</t>
  </si>
  <si>
    <t>Ateeq Ur Rahman</t>
  </si>
  <si>
    <t>Muhammad Rafiq Ur Rahman</t>
  </si>
  <si>
    <t>17301-7526243-1</t>
  </si>
  <si>
    <t>Allied bank</t>
  </si>
  <si>
    <t>PK44ABPA0010048520220018</t>
  </si>
  <si>
    <t>ateeqrahman010@gmail.com</t>
  </si>
  <si>
    <t>Shah khalid colony, old airport road, Rawalpindi</t>
  </si>
  <si>
    <t>H no. 505, st 5, sect F8, phase 6, hayatabad, Peshawar</t>
  </si>
  <si>
    <t>Mechanical Engineering</t>
  </si>
  <si>
    <t>Ab+</t>
  </si>
  <si>
    <t>Vizteck Solutions</t>
  </si>
  <si>
    <t>Dont have</t>
  </si>
  <si>
    <t>SAL-262</t>
  </si>
  <si>
    <t>Adeel</t>
  </si>
  <si>
    <t>Aslam Masih</t>
  </si>
  <si>
    <t>37405-0897321-5</t>
  </si>
  <si>
    <t>PK50HABB0011247948720503</t>
  </si>
  <si>
    <t>adeelbhatti57e@gmail.com</t>
  </si>
  <si>
    <t>House No.Nw-47/B, Street No.04 Mohallah Raja sultan Holy family hospital road Rawalpindi Pakistan</t>
  </si>
  <si>
    <t>Intermediate</t>
  </si>
  <si>
    <t>Bali TECH</t>
  </si>
  <si>
    <t>Stephen ( 0345 5499577)</t>
  </si>
  <si>
    <t>SAL-120</t>
  </si>
  <si>
    <t xml:space="preserve">Saqlain Shafqat </t>
  </si>
  <si>
    <t xml:space="preserve">Ch Shafqat Ali </t>
  </si>
  <si>
    <t>SJ Sales LG</t>
  </si>
  <si>
    <t>Key Account Executive</t>
  </si>
  <si>
    <t>61101-1448322-1</t>
  </si>
  <si>
    <t>PK89BAHL5546182400292601</t>
  </si>
  <si>
    <t>03365813481</t>
  </si>
  <si>
    <t>saqlainch28@gmail.com</t>
  </si>
  <si>
    <t>03335694419</t>
  </si>
  <si>
    <t xml:space="preserve">Ch Shafqat House Sihala Mirzian Tehsil &amp; Distt Islamabad </t>
  </si>
  <si>
    <t>SAL-122</t>
  </si>
  <si>
    <t>Saad Wasif</t>
  </si>
  <si>
    <t>Wasif ishaq</t>
  </si>
  <si>
    <t>Email marketing</t>
  </si>
  <si>
    <t>37406-8329800-7</t>
  </si>
  <si>
    <t>PK91ALFH8317001009835212</t>
  </si>
  <si>
    <t>saadmaliksaadmalik764@gmail.com</t>
  </si>
  <si>
    <t>03175223838</t>
  </si>
  <si>
    <t>house# z-426 street# 90 dhoke ratta rawalpindi</t>
  </si>
  <si>
    <t>matric</t>
  </si>
  <si>
    <t>SAL-115</t>
  </si>
  <si>
    <t xml:space="preserve">Imran Khan </t>
  </si>
  <si>
    <t>Abdur Rehman</t>
  </si>
  <si>
    <t xml:space="preserve">Lead Generation Team Lead </t>
  </si>
  <si>
    <t>16202-1461974-5</t>
  </si>
  <si>
    <t>PK31ALFH5668005001210088</t>
  </si>
  <si>
    <t>Imran.isb1@outlook.com</t>
  </si>
  <si>
    <t xml:space="preserve">FHS O - 9 PWD Islamabad </t>
  </si>
  <si>
    <t>Moh Kernal Sher road PO khan Charbagh Dist. Swabi, KPK</t>
  </si>
  <si>
    <t>MBA</t>
  </si>
  <si>
    <t>SAL-177</t>
  </si>
  <si>
    <t xml:space="preserve">Umer Rasheed </t>
  </si>
  <si>
    <t>Abdul Rasheed</t>
  </si>
  <si>
    <t>33103-4523943-9</t>
  </si>
  <si>
    <t>PK96BAHL5546182400288401</t>
  </si>
  <si>
    <t>0310-4329312</t>
  </si>
  <si>
    <t>umarrasheed844@gmail.com</t>
  </si>
  <si>
    <t>03041255464</t>
  </si>
  <si>
    <t>Railway Housing Scheme No. 8 Street # 2 Chaklala</t>
  </si>
  <si>
    <t>BS Physics (Electronics)</t>
  </si>
  <si>
    <t>MB-225</t>
  </si>
  <si>
    <t>Tayyaba Gull</t>
  </si>
  <si>
    <t>Ejaz Gull</t>
  </si>
  <si>
    <t xml:space="preserve">Business Development Executive </t>
  </si>
  <si>
    <t>37405-5000761-2</t>
  </si>
  <si>
    <t>JS Bank</t>
  </si>
  <si>
    <t>PK88JSBL9517000002201009</t>
  </si>
  <si>
    <t>03365990631</t>
  </si>
  <si>
    <t>tayyabaejaz96@gmail.com</t>
  </si>
  <si>
    <t>03348413394</t>
  </si>
  <si>
    <t xml:space="preserve">house 25 mohalla bakir colony tulsa road rawalpindi </t>
  </si>
  <si>
    <t>Business Administration</t>
  </si>
  <si>
    <t>MB-245</t>
  </si>
  <si>
    <t>Maira Bano</t>
  </si>
  <si>
    <t>Nasir Mehmood</t>
  </si>
  <si>
    <t>Sales (Medical Billing)</t>
  </si>
  <si>
    <t>Business Development executive</t>
  </si>
  <si>
    <t>34203-0210237-2</t>
  </si>
  <si>
    <t>PK27MEZN0008030108576817</t>
  </si>
  <si>
    <t>mairarajpot328@gmail.com</t>
  </si>
  <si>
    <t>Geela kalan Chakri Road, Rawalpindi</t>
  </si>
  <si>
    <t>Masters</t>
  </si>
  <si>
    <t>MB-246</t>
  </si>
  <si>
    <t>Hamna Naseem Kiani</t>
  </si>
  <si>
    <t>Naseem Iqbal Kiani</t>
  </si>
  <si>
    <t>Business Development specialist</t>
  </si>
  <si>
    <t>82303-2282100-0</t>
  </si>
  <si>
    <t>PK77HABB0008147915487099</t>
  </si>
  <si>
    <t>hamnakiani2001@gmail.com</t>
  </si>
  <si>
    <t>house No NE1567/58-A Area chaklala PAF Gulberg town, Rawalpindi</t>
  </si>
  <si>
    <t>Jalooth Dakhana Paniyola, Rawalakot, district poonch, AJK</t>
  </si>
  <si>
    <t>BS Communication and Media studies</t>
  </si>
  <si>
    <t>O positive</t>
  </si>
  <si>
    <t>DEV-223</t>
  </si>
  <si>
    <t>Muhammad Zaid</t>
  </si>
  <si>
    <t xml:space="preserve">Sher Wali Khan </t>
  </si>
  <si>
    <t>DEV- Intern</t>
  </si>
  <si>
    <t>16202-5656889-7</t>
  </si>
  <si>
    <t>PK46ABPA0010137215690015</t>
  </si>
  <si>
    <t>03140932282</t>
  </si>
  <si>
    <t>mzaii9243@gmail.com</t>
  </si>
  <si>
    <t>03305568827</t>
  </si>
  <si>
    <t>Neya Cham Zaida (Swabi) KPK, Pakistan</t>
  </si>
  <si>
    <t>HSSC</t>
  </si>
  <si>
    <t>SAL-107</t>
  </si>
  <si>
    <t xml:space="preserve">Shuja Ahmed </t>
  </si>
  <si>
    <t>Khurshid Ahmed</t>
  </si>
  <si>
    <t>37405-1024075-7</t>
  </si>
  <si>
    <t>PK08BAHL5546182400292701</t>
  </si>
  <si>
    <t>03437576692</t>
  </si>
  <si>
    <t>rshujaahmed@gmail.com</t>
  </si>
  <si>
    <t>03325261721</t>
  </si>
  <si>
    <t>House no.128, Street 48, Sector 2, Gulshanabad Rawalpindi</t>
  </si>
  <si>
    <t>FSC ICS</t>
  </si>
  <si>
    <t>SAL-114</t>
  </si>
  <si>
    <t>Sohail Pervaiz</t>
  </si>
  <si>
    <t>pervez akhtar</t>
  </si>
  <si>
    <t>E Commerce Specialis</t>
  </si>
  <si>
    <t>61101-6192017-1</t>
  </si>
  <si>
    <t>PK33BAHL5546182400297101</t>
  </si>
  <si>
    <t>Valid</t>
  </si>
  <si>
    <t>sohailpdxb@gmail.com</t>
  </si>
  <si>
    <t>VILLAGE SIHALA MIRZIAN F.A ISLAMABAD</t>
  </si>
  <si>
    <t>MATRIC</t>
  </si>
  <si>
    <t>Waleed Chattha</t>
  </si>
  <si>
    <t>SJ Customer Support Team</t>
  </si>
  <si>
    <t>SJ Sales</t>
  </si>
  <si>
    <t>COO</t>
  </si>
  <si>
    <t>Nil</t>
  </si>
  <si>
    <t>MB-278</t>
  </si>
  <si>
    <t>Najeeb Ullah</t>
  </si>
  <si>
    <t>Arab Jan</t>
  </si>
  <si>
    <t xml:space="preserve"> Medical Billing Sales</t>
  </si>
  <si>
    <t>Sr. Team Lead</t>
  </si>
  <si>
    <t>21104-9234705-5</t>
  </si>
  <si>
    <t>PK17MEZN0003170112048579</t>
  </si>
  <si>
    <t>najeebna6622@gmail.com</t>
  </si>
  <si>
    <t>Near Jamia masjid Al Farooq Wahdat Colony, Taxila</t>
  </si>
  <si>
    <t>Post office Inayat killay, tehsil Mamund, distt Bajaur</t>
  </si>
  <si>
    <t>FSc.</t>
  </si>
  <si>
    <t>Practice Align Private Limited</t>
  </si>
  <si>
    <t>Nill</t>
  </si>
  <si>
    <t>SAL-106</t>
  </si>
  <si>
    <t>Atif Hussain</t>
  </si>
  <si>
    <t>Aspin bad shah</t>
  </si>
  <si>
    <t>38301-2143218-3</t>
  </si>
  <si>
    <t>PK06BAHL5546182400293901</t>
  </si>
  <si>
    <t>03471977095</t>
  </si>
  <si>
    <t>raraavis658@gmail.com</t>
  </si>
  <si>
    <t>03169406432</t>
  </si>
  <si>
    <t>PWD boys hostel Islamabad</t>
  </si>
  <si>
    <t>Master in English</t>
  </si>
  <si>
    <t>EP-267</t>
  </si>
  <si>
    <t>Umair Iftikhar</t>
  </si>
  <si>
    <t>Iftikhar Ahmad</t>
  </si>
  <si>
    <t>EP - Digital Team</t>
  </si>
  <si>
    <t>Digital Marketing (EP)</t>
  </si>
  <si>
    <t>Social Media Marketing Manager</t>
  </si>
  <si>
    <t>61101-3030433-7</t>
  </si>
  <si>
    <t>PK39HABB0023287901843103</t>
  </si>
  <si>
    <t>0331-5313283</t>
  </si>
  <si>
    <t>umairiftikhar781@gmail.com</t>
  </si>
  <si>
    <t>0300-5342802</t>
  </si>
  <si>
    <t>House 451, khayban-e-Taimoor, phase - 2, Bharia Town, Rawalpindi</t>
  </si>
  <si>
    <t>BS(C.S)</t>
  </si>
  <si>
    <t>CyberxStudio</t>
  </si>
  <si>
    <t>Adnan Abid (0343-5333787)</t>
  </si>
  <si>
    <t>DEV-247</t>
  </si>
  <si>
    <t>Ata Mustafa</t>
  </si>
  <si>
    <t>Muhammad Anwar Butt</t>
  </si>
  <si>
    <t>SecureWipe(ITAD)</t>
  </si>
  <si>
    <t>Minnesota Computers</t>
  </si>
  <si>
    <t>34201-0526091-9</t>
  </si>
  <si>
    <t>UBL (United Bank Limited) (Humaira Sadiq)</t>
  </si>
  <si>
    <t>PK74UNIL0109000270777673</t>
  </si>
  <si>
    <t>ata.mustafa.1987@gmail.com</t>
  </si>
  <si>
    <t>03446244054, 03006257387</t>
  </si>
  <si>
    <t>Street # 11, Gharri Ahmedabad, Gujrat</t>
  </si>
  <si>
    <t>Master of Science (Computer Science)</t>
  </si>
  <si>
    <t>Resignation</t>
  </si>
  <si>
    <t>LRI-121</t>
  </si>
  <si>
    <t xml:space="preserve">Asim Ghaffar </t>
  </si>
  <si>
    <t>Abdul Ghaffar</t>
  </si>
  <si>
    <t>LRI Digital Team</t>
  </si>
  <si>
    <t>Graphic Designer</t>
  </si>
  <si>
    <t>33302-8028511-1</t>
  </si>
  <si>
    <t>PK81BAHL0152098100457001</t>
  </si>
  <si>
    <t>03421735537</t>
  </si>
  <si>
    <t>asim.mystics@gmail.com</t>
  </si>
  <si>
    <t>03323828743</t>
  </si>
  <si>
    <t>Bahria Town Islamabad</t>
  </si>
  <si>
    <t>DEV-142</t>
  </si>
  <si>
    <t>Azam Afridi</t>
  </si>
  <si>
    <t>Kaleem Ullah Khan</t>
  </si>
  <si>
    <t>Dev SJ Scrapper</t>
  </si>
  <si>
    <t>Machine Learning Engineer</t>
  </si>
  <si>
    <t>21201-5508352-1</t>
  </si>
  <si>
    <t xml:space="preserve"> UBL</t>
  </si>
  <si>
    <t>PK46UNIL0109000323036054</t>
  </si>
  <si>
    <t>03259594992</t>
  </si>
  <si>
    <t>azafridi9547@gmail.com</t>
  </si>
  <si>
    <t>H.No. 54, Street 2/A, Old Shami Road, Peshawar, KPK, Pakistan</t>
  </si>
  <si>
    <t xml:space="preserve">Bachelor of Science in Artificial Intelligence </t>
  </si>
  <si>
    <t>A</t>
  </si>
  <si>
    <t>EP-163</t>
  </si>
  <si>
    <t xml:space="preserve">Muhmmad Mohsin Arshad </t>
  </si>
  <si>
    <t>Mirza Muhammad Arshad</t>
  </si>
  <si>
    <t xml:space="preserve">Digital Marketing Team </t>
  </si>
  <si>
    <t>3310-28748952-1</t>
  </si>
  <si>
    <t>PK97BAHL0167009500312001</t>
  </si>
  <si>
    <t>mohsinarshad225@gmail.com</t>
  </si>
  <si>
    <t>House P-176, Street 11, Mohalla Manzoor Park, Faisalabad, Tehsil Faisalabad City, zila Faisalabad</t>
  </si>
  <si>
    <t>DEV-211</t>
  </si>
  <si>
    <t>Umer Riaz</t>
  </si>
  <si>
    <t>Riaz Muhammad</t>
  </si>
  <si>
    <t>VOIP/LMS</t>
  </si>
  <si>
    <t>SJ Computers, Minnesota Computers</t>
  </si>
  <si>
    <t>16202-6977021-9</t>
  </si>
  <si>
    <t>Punjab Bank</t>
  </si>
  <si>
    <t>PK60BPUN6020325839500010</t>
  </si>
  <si>
    <t>0305 5908601</t>
  </si>
  <si>
    <t>Umer.riaz@99technologies.com</t>
  </si>
  <si>
    <t>0313 9805990</t>
  </si>
  <si>
    <t xml:space="preserve">Not Final </t>
  </si>
  <si>
    <t xml:space="preserve">City:Swabi ,Village and PostOffice :Shahmansoor </t>
  </si>
  <si>
    <t>Bs in Artificial intelligence</t>
  </si>
  <si>
    <t>EP-295</t>
  </si>
  <si>
    <t>Laiba Nadeem</t>
  </si>
  <si>
    <t>Nadeem Ijaz</t>
  </si>
  <si>
    <t>EP- Digital Marketing</t>
  </si>
  <si>
    <t>Digital Marketing</t>
  </si>
  <si>
    <t>Creative Assistant</t>
  </si>
  <si>
    <t>37405-4467886-4</t>
  </si>
  <si>
    <t>nlaiba39@gmail.com</t>
  </si>
  <si>
    <t>92 332 5388813</t>
  </si>
  <si>
    <t>House no 314, st no 3, phase 3, Gulraiz housing</t>
  </si>
  <si>
    <t>BS Psychology</t>
  </si>
  <si>
    <t>Partnr's Studio</t>
  </si>
  <si>
    <t>Arish Nadeem (+92 332 5388813)</t>
  </si>
  <si>
    <t>UT-244</t>
  </si>
  <si>
    <t>Rafah Rahman</t>
  </si>
  <si>
    <t>Amir Naveed</t>
  </si>
  <si>
    <t>International Sale (ITAD)</t>
  </si>
  <si>
    <t>34103-9393277-9</t>
  </si>
  <si>
    <t>PK66MEZN0002520107360641</t>
  </si>
  <si>
    <t>923117968280 / 923466229198</t>
  </si>
  <si>
    <t>rafayrahman1538@gmail.com</t>
  </si>
  <si>
    <t>Adnan town Kamoki, Gujranwala, Pakistan</t>
  </si>
  <si>
    <t>P.O. Philloki Tehsil Nowshehra virkan District Gujranwala</t>
  </si>
  <si>
    <t>BS Health and Physical Education</t>
  </si>
  <si>
    <t>DEV-236</t>
  </si>
  <si>
    <t>Muhammad Sulaiman</t>
  </si>
  <si>
    <t>Jamil ud Din</t>
  </si>
  <si>
    <t>Shipnest</t>
  </si>
  <si>
    <t>14101-0310086-5</t>
  </si>
  <si>
    <t>PK17HABB0022497948648803</t>
  </si>
  <si>
    <t>03392003041</t>
  </si>
  <si>
    <t>devsulaiman3@gmail.com</t>
  </si>
  <si>
    <t>03045254316</t>
  </si>
  <si>
    <t>H 37 Street 118 I-10 Islamabad</t>
  </si>
  <si>
    <t>Muhallah Khyal Din thall bazo kot</t>
  </si>
  <si>
    <t>BSCS</t>
  </si>
  <si>
    <t>DEV-254</t>
  </si>
  <si>
    <t>Rabeeqa Tahir</t>
  </si>
  <si>
    <t>Rana tahir</t>
  </si>
  <si>
    <t>Sr Software Developer</t>
  </si>
  <si>
    <t>34301-2731809-0</t>
  </si>
  <si>
    <t>PK21JSBL9008000001929487</t>
  </si>
  <si>
    <t>0330-5964475</t>
  </si>
  <si>
    <t>Rabeeqatahir76@gmail.com</t>
  </si>
  <si>
    <t>House#745,awan street, zeeshan colony, dhoke choudarian, rwp</t>
  </si>
  <si>
    <t>Ramke chatta, hafizabad</t>
  </si>
  <si>
    <t>Bachelor of Science in Software Engineering (BSSE)</t>
  </si>
  <si>
    <t>DEV-315</t>
  </si>
  <si>
    <t>Muhammad Rizwan Raza</t>
  </si>
  <si>
    <t>Muhammad Ibrahim</t>
  </si>
  <si>
    <t>SJ Computers, Shipnest</t>
  </si>
  <si>
    <t>Minnesota Computer, SJ, RTI</t>
  </si>
  <si>
    <t>QA Engineer</t>
  </si>
  <si>
    <t>37405-2792231-7</t>
  </si>
  <si>
    <t>HBL</t>
  </si>
  <si>
    <t>PK31HABB0022497948650103</t>
  </si>
  <si>
    <t>M.rizwan0549@gmail.com</t>
  </si>
  <si>
    <t>House no 358 street no 3 raza manzil road Rawalpind Pakistan</t>
  </si>
  <si>
    <t>BCSE</t>
  </si>
  <si>
    <t>TEO International</t>
  </si>
  <si>
    <t>0332-8525404</t>
  </si>
  <si>
    <t>EP-283</t>
  </si>
  <si>
    <t>Syed Mohammad Ahmad</t>
  </si>
  <si>
    <t>Syed Mohammad Azmat</t>
  </si>
  <si>
    <t>P.Marketing</t>
  </si>
  <si>
    <t>61101-5914560-5</t>
  </si>
  <si>
    <t>PK75UNIL0109000200089681</t>
  </si>
  <si>
    <t>imahmadpk@gmail.com</t>
  </si>
  <si>
    <t>House 445 Street 15 Shahzad Town</t>
  </si>
  <si>
    <t>Islamabad</t>
  </si>
  <si>
    <t>PGMIT</t>
  </si>
  <si>
    <t>BMS</t>
  </si>
  <si>
    <t>Will provide</t>
  </si>
  <si>
    <t>MB-235</t>
  </si>
  <si>
    <t>Syed Saud</t>
  </si>
  <si>
    <t>Syed Gohar</t>
  </si>
  <si>
    <t>Team Lead Ops</t>
  </si>
  <si>
    <t>16101-8430672-3</t>
  </si>
  <si>
    <t>PK82FAYS3147475000004456</t>
  </si>
  <si>
    <t>03193110948</t>
  </si>
  <si>
    <t>syedsaudbacha1@gmail.com</t>
  </si>
  <si>
    <t>03101926283</t>
  </si>
  <si>
    <t>Dhock kashmiria chock Rawalpindi</t>
  </si>
  <si>
    <t>Moh baba g Kot daulat zai garhi kapura mardan</t>
  </si>
  <si>
    <t>BA</t>
  </si>
  <si>
    <t>MB-264</t>
  </si>
  <si>
    <t>Waleed arshad</t>
  </si>
  <si>
    <t>Muhammad arshad</t>
  </si>
  <si>
    <t>Credentialing &amp; Billing consultant</t>
  </si>
  <si>
    <t>13503-6117928-9</t>
  </si>
  <si>
    <t>0343 9531703</t>
  </si>
  <si>
    <t>Waleed.awan1279@gmail.com</t>
  </si>
  <si>
    <t>0316 1561992</t>
  </si>
  <si>
    <t>Village chakiah district mansehra</t>
  </si>
  <si>
    <t>Bachelor in engineering</t>
  </si>
  <si>
    <t>PrG</t>
  </si>
  <si>
    <t>N/a</t>
  </si>
  <si>
    <t>DEV-253</t>
  </si>
  <si>
    <t>Usama Irfan</t>
  </si>
  <si>
    <t>Irfan Afzal</t>
  </si>
  <si>
    <t>Eternal</t>
  </si>
  <si>
    <t>Junior Full Stack Consultant</t>
  </si>
  <si>
    <t>35201-6429974-9</t>
  </si>
  <si>
    <t>MCB Bank</t>
  </si>
  <si>
    <t>PK90MUCB1324694151016446</t>
  </si>
  <si>
    <t>0322-0717880</t>
  </si>
  <si>
    <t>syedusama076@gmail.com</t>
  </si>
  <si>
    <t>street no 2, mohalla lakhodair road shalamar town, lahore cantt, zilla lahore</t>
  </si>
  <si>
    <t>BS Information technology</t>
  </si>
  <si>
    <t>EP-318</t>
  </si>
  <si>
    <t>Abdul Baseer</t>
  </si>
  <si>
    <t>Muhammad Ghani</t>
  </si>
  <si>
    <t>EP- Customer Support</t>
  </si>
  <si>
    <t>Customer Support EP</t>
  </si>
  <si>
    <t>Customer Care &amp; Sale Representative</t>
  </si>
  <si>
    <t>21303-1828710-7</t>
  </si>
  <si>
    <t>PK06MEZN0007170111783476</t>
  </si>
  <si>
    <t>0300-1404877</t>
  </si>
  <si>
    <t>basnaz17@gmail.com</t>
  </si>
  <si>
    <t>0332-8808277</t>
  </si>
  <si>
    <t>Phase 7, Hayatabad, House 255, Street 4, Sector E-4, Peshawar</t>
  </si>
  <si>
    <t>Dakkhana Parachinar, Tehsil Upper Kurram, Districtu Kurram.</t>
  </si>
  <si>
    <t>Associate Civil Engineer</t>
  </si>
  <si>
    <t>Hashim Constructions</t>
  </si>
  <si>
    <t>It was Family Business.</t>
  </si>
  <si>
    <t>EP-190</t>
  </si>
  <si>
    <t>Nazeer Ahmed</t>
  </si>
  <si>
    <t>GD-EP</t>
  </si>
  <si>
    <t>Graphics Designer</t>
  </si>
  <si>
    <t>45104-4461394-7</t>
  </si>
  <si>
    <t>PK72HABB0000987900641503</t>
  </si>
  <si>
    <t>03121538552</t>
  </si>
  <si>
    <t>aleerazajalbanee@gmail.com</t>
  </si>
  <si>
    <t>03012157800</t>
  </si>
  <si>
    <t>Mirpur Mathelo, District Ghotki, Sindh</t>
  </si>
  <si>
    <t>Bachelors in English Literaute</t>
  </si>
  <si>
    <t>CSR-212</t>
  </si>
  <si>
    <t>Zain nawaz</t>
  </si>
  <si>
    <t>Ch Nadeem khalid</t>
  </si>
  <si>
    <t>SJ Customer Support</t>
  </si>
  <si>
    <t>E- Commerce Analyst</t>
  </si>
  <si>
    <t>37405-0711415-3</t>
  </si>
  <si>
    <t>PK09ALFH0007001009831693</t>
  </si>
  <si>
    <t>03379759224</t>
  </si>
  <si>
    <t>Zaynch638@gmail.com</t>
  </si>
  <si>
    <t>03359742038</t>
  </si>
  <si>
    <t>Hno 296,297marir hassan Rawalpindi cantt</t>
  </si>
  <si>
    <t>Bachelor's of Business Administration</t>
  </si>
  <si>
    <t>A +</t>
  </si>
  <si>
    <t>PCM-137</t>
  </si>
  <si>
    <t>Arsalan Shah</t>
  </si>
  <si>
    <t>E-commerce</t>
  </si>
  <si>
    <t>16202-9860655-7</t>
  </si>
  <si>
    <t>Allied Bank</t>
  </si>
  <si>
    <t>PK72ABPA0010082599000012</t>
  </si>
  <si>
    <t>itsarsalanshah@gmail.com</t>
  </si>
  <si>
    <t>10/21/1998</t>
  </si>
  <si>
    <t>House #335, Street #46, Phase 2 Margalla Town</t>
  </si>
  <si>
    <t>Naya cham, Zaida, Swabi, KPK</t>
  </si>
  <si>
    <t>Software Engineering</t>
  </si>
  <si>
    <t>EP-192</t>
  </si>
  <si>
    <t>Ifrah Awais</t>
  </si>
  <si>
    <t>MUHAMMAD SHAHID</t>
  </si>
  <si>
    <t>Content Writer-EP</t>
  </si>
  <si>
    <t>CONTENT WRITER</t>
  </si>
  <si>
    <t>61101-9996593-2</t>
  </si>
  <si>
    <t>PK35MEZN0000300110520309</t>
  </si>
  <si>
    <t>03315988674</t>
  </si>
  <si>
    <t>ifrah1519@gmail.com</t>
  </si>
  <si>
    <t>03329927315</t>
  </si>
  <si>
    <t>House 9/5B, street 15, Sector G7/2, Islamabad</t>
  </si>
  <si>
    <t>PO Box Khas, Kuri Khuda Baksh, Tehsil &amp; District Rawalpindi</t>
  </si>
  <si>
    <t>Masters in Microbiology-Ifrah Malik</t>
  </si>
  <si>
    <t>UT-297</t>
  </si>
  <si>
    <t>Izzah Tanvir</t>
  </si>
  <si>
    <t>Malik Tanvir Afzal</t>
  </si>
  <si>
    <t>Blue Ribbon &amp; RTI &amp; LRI</t>
  </si>
  <si>
    <t>SJ Computer</t>
  </si>
  <si>
    <t>Social Media Manager</t>
  </si>
  <si>
    <t>37405-2797796-6</t>
  </si>
  <si>
    <t>PK56HABB0018538901366003</t>
  </si>
  <si>
    <t>izza.tanvir@hotmail.com</t>
  </si>
  <si>
    <t>H# 9B, street 6, block C. Naval Anchorage, Islamabad</t>
  </si>
  <si>
    <t>MBA Digital Marketing</t>
  </si>
  <si>
    <t>Arcana Info</t>
  </si>
  <si>
    <t>Maham Khan +923306985794</t>
  </si>
  <si>
    <t>DEV-274</t>
  </si>
  <si>
    <t>Qasim Pervez</t>
  </si>
  <si>
    <t>Pervez Akhtar</t>
  </si>
  <si>
    <t xml:space="preserve">UX/UI </t>
  </si>
  <si>
    <t>Team Lead</t>
  </si>
  <si>
    <t>37405-5084548-5</t>
  </si>
  <si>
    <t>PK90MEZN0003240111124452</t>
  </si>
  <si>
    <t>0300-5599444</t>
  </si>
  <si>
    <t>chudhary.001@gmail.com</t>
  </si>
  <si>
    <t>Design and Visual Communications, General</t>
  </si>
  <si>
    <t>INTERFACE X/MOMBATI FILMS AND MARKETING</t>
  </si>
  <si>
    <t>BSA-292</t>
  </si>
  <si>
    <t>Mehru Qamar</t>
  </si>
  <si>
    <t>Qamar Ud din Khan</t>
  </si>
  <si>
    <t>Admin Dept</t>
  </si>
  <si>
    <t>Business Strategy Analyst</t>
  </si>
  <si>
    <t>37405-8082395-2</t>
  </si>
  <si>
    <t>PK98HABB0012367981294899</t>
  </si>
  <si>
    <t>mehruqamar4@gmail.com</t>
  </si>
  <si>
    <t>03365236634, 03365294268, 03315294268</t>
  </si>
  <si>
    <t>House no. 14, street 2, Sector A, DHA Phase 1 Islamabad</t>
  </si>
  <si>
    <t>Bachelor of Science (BS) in Economics</t>
  </si>
  <si>
    <t>Jazz</t>
  </si>
  <si>
    <t>Huzaif Abbas, 03060455725</t>
  </si>
  <si>
    <t>UT-296</t>
  </si>
  <si>
    <t>Muhammad Mudasir</t>
  </si>
  <si>
    <t>Noor Nabi</t>
  </si>
  <si>
    <t xml:space="preserve">Team Leadwise </t>
  </si>
  <si>
    <t>Full Stack Developer</t>
  </si>
  <si>
    <t>41201-1998350-1</t>
  </si>
  <si>
    <t>PK74MEZN0000300112886892</t>
  </si>
  <si>
    <t>muhmudasir4747@gmail.com</t>
  </si>
  <si>
    <t>H-12 Islamabad</t>
  </si>
  <si>
    <t>Wazirabad Mohalla Dadu Sindh</t>
  </si>
  <si>
    <t>Merik Solutions</t>
  </si>
  <si>
    <t>Mansoor 03477728022</t>
  </si>
  <si>
    <t>CSR-309</t>
  </si>
  <si>
    <t>Hamza ikram</t>
  </si>
  <si>
    <t>M Ikram ch</t>
  </si>
  <si>
    <t>E Commerce</t>
  </si>
  <si>
    <t>Intern</t>
  </si>
  <si>
    <t>34501-2973241-5</t>
  </si>
  <si>
    <t>Mezan bank</t>
  </si>
  <si>
    <t>PK53MEZN0012480107106431</t>
  </si>
  <si>
    <t>Hamza.ikram45@gmail.com</t>
  </si>
  <si>
    <t>Alhaj munawar iron store zafarwal</t>
  </si>
  <si>
    <t>BsIT</t>
  </si>
  <si>
    <t>Eastern tech</t>
  </si>
  <si>
    <t>Aleem +92 345 6718867</t>
  </si>
  <si>
    <t>EP-194</t>
  </si>
  <si>
    <t xml:space="preserve">Amir Bilal </t>
  </si>
  <si>
    <t>Bilal Khan</t>
  </si>
  <si>
    <t>37405-6956474-1    </t>
  </si>
  <si>
    <t>PK14ABPA0010097524790017</t>
  </si>
  <si>
    <t>03085197737</t>
  </si>
  <si>
    <t>1aamir346@gmail.com</t>
  </si>
  <si>
    <t>03315432325</t>
  </si>
  <si>
    <t>House#101, Street#A/10-3, Nai Abadi Ashraf colony Dhamial Road Rawalpindi</t>
  </si>
  <si>
    <t>Odha khel kahddar khel district kohat</t>
  </si>
  <si>
    <t>BS(Computer Science)</t>
  </si>
  <si>
    <t>EP-203</t>
  </si>
  <si>
    <t>Sameer Zahid</t>
  </si>
  <si>
    <t>Zahid Nazir</t>
  </si>
  <si>
    <t>Eternal Perfume</t>
  </si>
  <si>
    <t>34201-6485399-7</t>
  </si>
  <si>
    <t>PK93ABPA0010119214250010</t>
  </si>
  <si>
    <t>sameerzahid397@gmail.com</t>
  </si>
  <si>
    <t>03367204435</t>
  </si>
  <si>
    <t>Mohallah Chah Kholy railway road Gujrat</t>
  </si>
  <si>
    <t>Bahria Town Phase 8 Ali Awenue</t>
  </si>
  <si>
    <t>BBA 5 Semester</t>
  </si>
  <si>
    <t>DEV-153</t>
  </si>
  <si>
    <t>Ariba Noor</t>
  </si>
  <si>
    <t>Arshad Rauf</t>
  </si>
  <si>
    <t>Stockwise</t>
  </si>
  <si>
    <t>37406-2056176-8</t>
  </si>
  <si>
    <t>United Bank</t>
  </si>
  <si>
    <t>PK23UNIL0109000268251062</t>
  </si>
  <si>
    <t>+923335467362</t>
  </si>
  <si>
    <t>aribanoor1401@gmail.com</t>
  </si>
  <si>
    <t>03215768601, 03136377484</t>
  </si>
  <si>
    <t>House # 41, Street 1, D-Block, New City Phase 2, Wah Cantt, Taxila, District Rawalpindi, Pakistan</t>
  </si>
  <si>
    <t>BSc. Software Engineering</t>
  </si>
  <si>
    <t>EP-329</t>
  </si>
  <si>
    <t>Serah Asher</t>
  </si>
  <si>
    <t>Asher Munir</t>
  </si>
  <si>
    <t>Customer Support (EP)</t>
  </si>
  <si>
    <t>Customer Support Operations</t>
  </si>
  <si>
    <t>37405-7019794-8</t>
  </si>
  <si>
    <t>PK51MEZN0008010111152609</t>
  </si>
  <si>
    <t>serahasher123456@gmail.com</t>
  </si>
  <si>
    <t xml:space="preserve"> 313 5444206</t>
  </si>
  <si>
    <t>House no CB#114, Tayyaba Street, Dhok Jumma Adyala Road, Rawalpindi.</t>
  </si>
  <si>
    <t>BS Public Administration</t>
  </si>
  <si>
    <t>Payactiv</t>
  </si>
  <si>
    <t>Shameer 03315815925</t>
  </si>
  <si>
    <t>DEV-147</t>
  </si>
  <si>
    <t>Abid Karim</t>
  </si>
  <si>
    <t>Ghalam Murtaza</t>
  </si>
  <si>
    <t>Minnesota Computer, SJ Computers</t>
  </si>
  <si>
    <t>71702-0342269-7</t>
  </si>
  <si>
    <t>PK58SCBL0000001731601201</t>
  </si>
  <si>
    <t>00923425012280</t>
  </si>
  <si>
    <t>abidkarimi049@gmail.com</t>
  </si>
  <si>
    <t>03418971114</t>
  </si>
  <si>
    <t>Plote # 143 Atta Abad Colony, Muhammad Abad, Danyor Gilgit - Gilgit Baltistan</t>
  </si>
  <si>
    <t>BS - Computer Science</t>
  </si>
  <si>
    <t>DEV-275</t>
  </si>
  <si>
    <t>Jamal Ahmad Khan</t>
  </si>
  <si>
    <t>Noor Muhammad</t>
  </si>
  <si>
    <t>Development Team</t>
  </si>
  <si>
    <t>16202-7021238-3</t>
  </si>
  <si>
    <t>PK79HABB0002017900336503</t>
  </si>
  <si>
    <t>jamalcare24@gmail.com</t>
  </si>
  <si>
    <t>House No. 149, Street 4, Sector F, Shahmansoor Town, Swabi</t>
  </si>
  <si>
    <t>BE Software Engineering</t>
  </si>
  <si>
    <t>Ogilvy</t>
  </si>
  <si>
    <t>Imran Ayub (0300-9500579)</t>
  </si>
  <si>
    <t>EP-162</t>
  </si>
  <si>
    <t xml:space="preserve">Mian Muhamamd Mohsin </t>
  </si>
  <si>
    <t>Muhammad Shafique</t>
  </si>
  <si>
    <t>SEO Head</t>
  </si>
  <si>
    <t>33100-7034694-7</t>
  </si>
  <si>
    <t>PK46BAHL5546182400289301</t>
  </si>
  <si>
    <t>mx3guestposting@gmail.com</t>
  </si>
  <si>
    <t>231/D Block, SirSayed Town, Faisalabad</t>
  </si>
  <si>
    <t>Esha Sardar</t>
  </si>
  <si>
    <t>khushal khan</t>
  </si>
  <si>
    <t>HR inter</t>
  </si>
  <si>
    <t>81201-1177009-2</t>
  </si>
  <si>
    <t>PK54HABB0005367934391303</t>
  </si>
  <si>
    <t>hr@99technologies</t>
  </si>
  <si>
    <t>Bahria Town Phase 7</t>
  </si>
  <si>
    <t>kotli AJK</t>
  </si>
  <si>
    <t>BS(HRM)</t>
  </si>
  <si>
    <t>CSR-124</t>
  </si>
  <si>
    <t>Muhammad Qasim Anwar Khan</t>
  </si>
  <si>
    <t>16202-1939284-9</t>
  </si>
  <si>
    <t>PK73BAHL5546182400292501</t>
  </si>
  <si>
    <t>ITAD-350</t>
  </si>
  <si>
    <t>Umer mirza</t>
  </si>
  <si>
    <t>Afroz Ali Mirza</t>
  </si>
  <si>
    <t>ITAD</t>
  </si>
  <si>
    <t>Minnesota Compuers</t>
  </si>
  <si>
    <t>Outbound Sales Executive (ITAD)</t>
  </si>
  <si>
    <t>37405-0831990-7</t>
  </si>
  <si>
    <t>Meezan bank</t>
  </si>
  <si>
    <t>PK17MEZN0003160102588703</t>
  </si>
  <si>
    <t>Umer_mirza002@yahoo.com</t>
  </si>
  <si>
    <t>Ghori town islamabad</t>
  </si>
  <si>
    <t>Bachelor’s</t>
  </si>
  <si>
    <t>Code agrius</t>
  </si>
  <si>
    <t>ITAD-344</t>
  </si>
  <si>
    <t>Rana Awais Ibrar</t>
  </si>
  <si>
    <t>Rana ibrar Ahmed</t>
  </si>
  <si>
    <t>31102-7144082-3</t>
  </si>
  <si>
    <t>Askari bank</t>
  </si>
  <si>
    <t>PK59ASCM0002170320028415</t>
  </si>
  <si>
    <t>0313-5883846</t>
  </si>
  <si>
    <t>ranaawaisib04@gmail.com</t>
  </si>
  <si>
    <t>0346 2498430</t>
  </si>
  <si>
    <t>CBR TOWN phase 1 C block street 13 house no 263</t>
  </si>
  <si>
    <t>CBR TOWN phase 1 C block Islamabad street 13 house no 263</t>
  </si>
  <si>
    <t>Ics from kips college</t>
  </si>
  <si>
    <t>Touchstone communications</t>
  </si>
  <si>
    <t>EP-193</t>
  </si>
  <si>
    <t>Fahad Iqbal</t>
  </si>
  <si>
    <t>Muhammad Iqbal</t>
  </si>
  <si>
    <t>Key Account-Sales EP</t>
  </si>
  <si>
    <t>Support Manager</t>
  </si>
  <si>
    <t>37210-1138941-3</t>
  </si>
  <si>
    <t>PK48BAHL0167009500312301</t>
  </si>
  <si>
    <t>fahad.99tech@gmail.com</t>
  </si>
  <si>
    <t>House 7, Street 6A, Main Hill View Lane, Adyala Road, Rawalpindi.</t>
  </si>
  <si>
    <t>Fsc</t>
  </si>
  <si>
    <t>DEV-335</t>
  </si>
  <si>
    <t>Aali Shan</t>
  </si>
  <si>
    <t>Saeed Ullah</t>
  </si>
  <si>
    <t>INTERN</t>
  </si>
  <si>
    <t>LRI, RTI ,Minnesota Compuers, SJ Computers</t>
  </si>
  <si>
    <t>42301-9768653-5</t>
  </si>
  <si>
    <t>PK09MEZN0000300112651673</t>
  </si>
  <si>
    <t>318 5079671,  329 5612969</t>
  </si>
  <si>
    <t>aalishanhunzai@gmail.com</t>
  </si>
  <si>
    <t xml:space="preserve"> 312 5957393</t>
  </si>
  <si>
    <t>Islamabad arcade, flat no 106, sector D-17/2 markaz, Islamabad</t>
  </si>
  <si>
    <t>PO karim abad, Altit, tehsil ali abad hunza, district hunza</t>
  </si>
  <si>
    <t>Bachelor of Science in Computer Science</t>
  </si>
  <si>
    <t>Internship Over</t>
  </si>
  <si>
    <t>RiayaTech</t>
  </si>
  <si>
    <t>DEV-352</t>
  </si>
  <si>
    <t>Abdul Rauf</t>
  </si>
  <si>
    <t>Rab Nawaz</t>
  </si>
  <si>
    <t>Sr, QA Engineer</t>
  </si>
  <si>
    <t>37406-7116205-7</t>
  </si>
  <si>
    <t>Standard chartered Bank</t>
  </si>
  <si>
    <t>PK27SCBL0000001014809201</t>
  </si>
  <si>
    <t>abdul.rauf03199@gmail.com</t>
  </si>
  <si>
    <t>POF Road, Gudwal Wah Cantt</t>
  </si>
  <si>
    <t>Black &amp; Black</t>
  </si>
  <si>
    <t>Zahoor Mehdi ( HR ) +923343075706</t>
  </si>
  <si>
    <t>ITAD-345</t>
  </si>
  <si>
    <t>M.Daim-Al-Safdar</t>
  </si>
  <si>
    <t>M.Aqib-Al-Safdar</t>
  </si>
  <si>
    <t>61101-2947752-5</t>
  </si>
  <si>
    <t>PK28MEZN0003090114011956</t>
  </si>
  <si>
    <t>daimbutt2004@gmail.com</t>
  </si>
  <si>
    <t>House No:1232, Street No:84, G9/4 Islamabad</t>
  </si>
  <si>
    <t>I.com</t>
  </si>
  <si>
    <t>Tribe consulting</t>
  </si>
  <si>
    <t>03125345442 (Ali noor)</t>
  </si>
  <si>
    <t>ITAD-346</t>
  </si>
  <si>
    <t>Rai Muhammad Shahmir Noor</t>
  </si>
  <si>
    <t>Rai Muhammad Noor Khan</t>
  </si>
  <si>
    <t>61101-8059237-7</t>
  </si>
  <si>
    <t>PK98MEZN0003090112355003</t>
  </si>
  <si>
    <t>03105001339, 03355885842</t>
  </si>
  <si>
    <t>Shahmirrana5@gmail.com</t>
  </si>
  <si>
    <t>House:1242 Street:84 Sector:G.9/4 Islamabad</t>
  </si>
  <si>
    <t>03165447390 (Daniyal Shakeel)</t>
  </si>
  <si>
    <t>SAL-105</t>
  </si>
  <si>
    <t>Usama Bin Nasir</t>
  </si>
  <si>
    <t xml:space="preserve">Nasir Mehmood </t>
  </si>
  <si>
    <t>37201-4362878-7</t>
  </si>
  <si>
    <t>PK43BAHL5546182400291101</t>
  </si>
  <si>
    <t>03235023170</t>
  </si>
  <si>
    <t>usamanasir059@gmail.com</t>
  </si>
  <si>
    <t>H.no CB#105 , Dhoke Kashmirian Chaklala , Rawalpindi</t>
  </si>
  <si>
    <t>FSC</t>
  </si>
  <si>
    <t>CSR-263</t>
  </si>
  <si>
    <t>Fahad farid</t>
  </si>
  <si>
    <t>Farid ud din</t>
  </si>
  <si>
    <t>Customer Support</t>
  </si>
  <si>
    <t>CSR</t>
  </si>
  <si>
    <t>37405-2599708-7</t>
  </si>
  <si>
    <t>Standard chartered bank</t>
  </si>
  <si>
    <t>PK80SCBL0000001032392601</t>
  </si>
  <si>
    <t>fahadfarid62@gmail.com</t>
  </si>
  <si>
    <t>H#j/436, st#8, mohalla dhoke ilahi bux, rwp</t>
  </si>
  <si>
    <t>H#j/467, st#14, mohalla dhoke ilahi bux, rwp</t>
  </si>
  <si>
    <t>Bachelor in Humanities</t>
  </si>
  <si>
    <t>Prima systems</t>
  </si>
  <si>
    <t>HR, Zohaib Ali ph#+92 333 8129377</t>
  </si>
  <si>
    <t>UT-358</t>
  </si>
  <si>
    <t>Talkloop VOIP</t>
  </si>
  <si>
    <t>SJ Computers,LRI,Minnesota Computers</t>
  </si>
  <si>
    <t>Talkloop</t>
  </si>
  <si>
    <t>ITAD-343</t>
  </si>
  <si>
    <t>Talha Zulfiqar</t>
  </si>
  <si>
    <t>Zulfiqar Ali</t>
  </si>
  <si>
    <t>37405-1840230-5</t>
  </si>
  <si>
    <t>Bank AlFalah Islamic</t>
  </si>
  <si>
    <t>PK84ALFH5569005002334434</t>
  </si>
  <si>
    <t>talhazulfiqar1373@gmail.com</t>
  </si>
  <si>
    <t>2391, St 56, Abubakar Block, Barhia Town Phase 8, Rawalpindi.</t>
  </si>
  <si>
    <t>Bheraj, P.O Lakhanwaal Teh &amp; Distt Gujrat</t>
  </si>
  <si>
    <t>BS-IT</t>
  </si>
  <si>
    <t>O-</t>
  </si>
  <si>
    <t>CSR-323</t>
  </si>
  <si>
    <t>Hisham</t>
  </si>
  <si>
    <t>Muhammad Ashraf</t>
  </si>
  <si>
    <t>Customer support representative</t>
  </si>
  <si>
    <t>37405-4313095-1</t>
  </si>
  <si>
    <t>Meezan Bank.</t>
  </si>
  <si>
    <t>PK17MEZN0008010111045454</t>
  </si>
  <si>
    <t>hisham99ak@gmail.com</t>
  </si>
  <si>
    <t>H.no:BIV-711, Madni Street, Muslim Town, Rawalpindi</t>
  </si>
  <si>
    <t>FSc</t>
  </si>
  <si>
    <t>RFC Security Group</t>
  </si>
  <si>
    <t>Nasir Khatak 03334712345</t>
  </si>
  <si>
    <t>DEV-148</t>
  </si>
  <si>
    <t>Rizwan Shoukat</t>
  </si>
  <si>
    <t xml:space="preserve">Shoukat Ali </t>
  </si>
  <si>
    <t>UI/UX</t>
  </si>
  <si>
    <t>SJ Computers, Minnesota Compuers, LRI, RTI</t>
  </si>
  <si>
    <t>UI / UX Designer</t>
  </si>
  <si>
    <t>33104-1812862-3</t>
  </si>
  <si>
    <t>PK19BAHL5546182400295801</t>
  </si>
  <si>
    <t>03026431439</t>
  </si>
  <si>
    <t>rizwanshaukat955@gmail.com</t>
  </si>
  <si>
    <t>03017272781</t>
  </si>
  <si>
    <t>Street # 2, Railway Housing Scheme 8, Chaklala</t>
  </si>
  <si>
    <t>Dilawar Hassan +923302921574</t>
  </si>
  <si>
    <t>LRI-172</t>
  </si>
  <si>
    <t xml:space="preserve">Rohail Khan </t>
  </si>
  <si>
    <t>LRI - Billing</t>
  </si>
  <si>
    <t>Billing/Collection Specialist</t>
  </si>
  <si>
    <t>35202-8708185-3</t>
  </si>
  <si>
    <t>PK04BAHL0039009501062901</t>
  </si>
  <si>
    <t>DEV-336</t>
  </si>
  <si>
    <t>Shaqran Hussain</t>
  </si>
  <si>
    <t>Majid Hussain</t>
  </si>
  <si>
    <t>41204-8604865-7</t>
  </si>
  <si>
    <t>PK73MEZN0000300113805112</t>
  </si>
  <si>
    <t>shaqran124@gmail.com</t>
  </si>
  <si>
    <t>Quarter No.E-77 Thermal Power Station Colony Jamshoro</t>
  </si>
  <si>
    <t>B.Eng. Software Engineering</t>
  </si>
  <si>
    <t>DEV-337</t>
  </si>
  <si>
    <t>Saqib Ayaz</t>
  </si>
  <si>
    <t>Ayaz Ahmed</t>
  </si>
  <si>
    <t>43105-3670889-3</t>
  </si>
  <si>
    <t>PK68MEZN0000300113269180</t>
  </si>
  <si>
    <t>saqibdev24@gmail.com</t>
  </si>
  <si>
    <t>Mubarakpur, Mohalla Soomra, Thul, District Jacobabad.</t>
  </si>
  <si>
    <t>Intern END</t>
  </si>
  <si>
    <t>DEV-338</t>
  </si>
  <si>
    <t>Vijay Kumar</t>
  </si>
  <si>
    <t>Rano Mal</t>
  </si>
  <si>
    <t>44401-1871885-3</t>
  </si>
  <si>
    <t>Habib Bank Limited</t>
  </si>
  <si>
    <t>PK26HABB0000737936176499</t>
  </si>
  <si>
    <t>vijaykumarmalhi877@gmail.com</t>
  </si>
  <si>
    <t>Village Wagho Mal Malhi, Post Office Dhoronaro, M Aalam Palli, Taulka &amp; District Umerkot</t>
  </si>
  <si>
    <t>DEV-339</t>
  </si>
  <si>
    <t>Syed Fateh Ali Shah</t>
  </si>
  <si>
    <t>Syed Qurban Shah</t>
  </si>
  <si>
    <t>45204-6626631-1</t>
  </si>
  <si>
    <t>PK69HABB0164030085035866</t>
  </si>
  <si>
    <t>syedfatehalishahfateh@gmail.com</t>
  </si>
  <si>
    <t>Near Gajani Hospital, New Shahbaz Colony khairpur</t>
  </si>
  <si>
    <t>Village Phori Chandia tehsile Kingiri District khairpur</t>
  </si>
  <si>
    <t>Software Engineer (BE)</t>
  </si>
  <si>
    <t>DEV-340</t>
  </si>
  <si>
    <r>
      <rPr>
        <sz val="14"/>
        <color theme="1"/>
        <rFont val="Calibri"/>
        <family val="2"/>
      </rPr>
      <t xml:space="preserve">Fahad Ali  </t>
    </r>
    <r>
      <rPr>
        <sz val="14"/>
        <color rgb="FFFF0000"/>
        <rFont val="Calibri"/>
        <family val="2"/>
      </rPr>
      <t xml:space="preserve"> </t>
    </r>
  </si>
  <si>
    <t>Manthar Ali</t>
  </si>
  <si>
    <t>41303-1743592-5</t>
  </si>
  <si>
    <t>PK85ALFH0851001007775666</t>
  </si>
  <si>
    <t>fahadjatoi159@gmail.com</t>
  </si>
  <si>
    <t>Pakistan, Sindh, Hyderabad, Hala Naka, National CNG, House No 3</t>
  </si>
  <si>
    <t>Bachelors of Engineering in software engineering</t>
  </si>
  <si>
    <t>SAL-110</t>
  </si>
  <si>
    <t>Muhammad Hammad</t>
  </si>
  <si>
    <t>Kalb e Ali</t>
  </si>
  <si>
    <t>International Sales Executive</t>
  </si>
  <si>
    <t>715032-701873-7</t>
  </si>
  <si>
    <t>PK58MEZN0008030109700101</t>
  </si>
  <si>
    <t>03150497424</t>
  </si>
  <si>
    <t>hcxharal@gmail.com</t>
  </si>
  <si>
    <t>03445022031</t>
  </si>
  <si>
    <t>House # 645, Riaz Road Jutial, Gilgit</t>
  </si>
  <si>
    <t>Sumayar, Tehsil and District Nagar</t>
  </si>
  <si>
    <t>MSc in International Relations</t>
  </si>
  <si>
    <t>ITAD-363</t>
  </si>
  <si>
    <t>Abdullah Shah</t>
  </si>
  <si>
    <t>Mian Muhammad Raza Shah</t>
  </si>
  <si>
    <t>ITAD Sales Representative</t>
  </si>
  <si>
    <t>17201-7378847-7</t>
  </si>
  <si>
    <t>Nayapay</t>
  </si>
  <si>
    <t>PK06NAYA1234503369017464</t>
  </si>
  <si>
    <t>abdshah8080@gmail.com</t>
  </si>
  <si>
    <t>Chaklala scheme 3 Rawalpindi</t>
  </si>
  <si>
    <t>Mohalla pero khel Akora khattak</t>
  </si>
  <si>
    <t>Bachelors in Business Administration</t>
  </si>
  <si>
    <t>Axe Telecom</t>
  </si>
  <si>
    <t>Ch Wasim +923130871556</t>
  </si>
  <si>
    <t>ITAD-373</t>
  </si>
  <si>
    <t>Muhammad Attaullah Khattak</t>
  </si>
  <si>
    <t>Sartaj Ali Khattak</t>
  </si>
  <si>
    <t>17201-4231841-9</t>
  </si>
  <si>
    <t>attaullahmuhammad259@gmail.com</t>
  </si>
  <si>
    <t>house 744 street #11 ,Chaklala scheme 3 ,Rawalpindi</t>
  </si>
  <si>
    <t>muhalla gari khan khel ,akora khattak,tehsil and district nowshera</t>
  </si>
  <si>
    <t>Astolian company</t>
  </si>
  <si>
    <t>UT-355</t>
  </si>
  <si>
    <t>Team Lead – Talkloop</t>
  </si>
  <si>
    <t>CSR-125</t>
  </si>
  <si>
    <t xml:space="preserve">Muhammad Arif </t>
  </si>
  <si>
    <t>Customer Support Specialist</t>
  </si>
  <si>
    <t>16101-7911594-9</t>
  </si>
  <si>
    <t>PK95BAHL0185098100228701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</si>
</sst>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_-* #,##0_-;\-* #,##0_-;_-* &quot;-&quot;??_-;_-@"/>
    <numFmt numFmtId="166" formatCode="dddd\,\ mmmm\ d\,\ yyyy"/>
  </numFmts>
  <fonts count="16" x14ac:knownFonts="1">
    <font>
      <sz val="12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b/>
      <sz val="18"/>
      <color theme="0"/>
      <name val="Calibri"/>
      <family val="2"/>
    </font>
    <font>
      <b/>
      <sz val="14"/>
      <color theme="0"/>
      <name val="Calibri"/>
      <family val="2"/>
    </font>
    <font>
      <b/>
      <sz val="18"/>
      <color theme="1"/>
      <name val="Calibri"/>
      <family val="2"/>
    </font>
    <font>
      <sz val="36"/>
      <color theme="1"/>
      <name val="Calibri"/>
      <family val="2"/>
    </font>
    <font>
      <sz val="11"/>
      <name val="Calibri"/>
      <family val="2"/>
    </font>
    <font>
      <sz val="16"/>
      <color theme="1"/>
      <name val="Calibri"/>
      <family val="2"/>
    </font>
    <font>
      <sz val="16"/>
      <color rgb="FF000000"/>
      <name val="Arial"/>
      <family val="2"/>
    </font>
    <font>
      <sz val="14"/>
      <color rgb="FF000000"/>
      <name val="Calibri"/>
      <family val="2"/>
    </font>
    <font>
      <sz val="16"/>
      <color rgb="FFFF0000"/>
      <name val="Calibri"/>
      <family val="2"/>
    </font>
    <font>
      <sz val="16"/>
      <color rgb="FF000000"/>
      <name val="Calibri"/>
      <family val="2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u/>
      <sz val="11"/>
      <color theme="10"/>
      <name val="Calibri"/>
      <family val="2"/>
    </font>
    <font>
      <u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17" fontId="5" fillId="3" borderId="6" xfId="0" applyNumberFormat="1" applyFont="1" applyFill="1" applyBorder="1" applyAlignment="1">
      <alignment horizontal="left"/>
    </xf>
    <xf numFmtId="0" fontId="6" fillId="0" borderId="5" xfId="0" applyFont="1" applyBorder="1"/>
    <xf numFmtId="0" fontId="6" fillId="0" borderId="7" xfId="0" applyFont="1" applyBorder="1"/>
    <xf numFmtId="0" fontId="7" fillId="4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164" fontId="7" fillId="4" borderId="8" xfId="0" applyNumberFormat="1" applyFont="1" applyFill="1" applyBorder="1" applyAlignment="1">
      <alignment horizontal="left"/>
    </xf>
    <xf numFmtId="0" fontId="9" fillId="5" borderId="9" xfId="0" applyFont="1" applyFill="1" applyBorder="1"/>
    <xf numFmtId="0" fontId="8" fillId="4" borderId="8" xfId="0" applyFont="1" applyFill="1" applyBorder="1" applyAlignment="1">
      <alignment horizontal="center" vertical="center"/>
    </xf>
    <xf numFmtId="14" fontId="8" fillId="4" borderId="8" xfId="0" applyNumberFormat="1" applyFont="1" applyFill="1" applyBorder="1" applyAlignment="1">
      <alignment horizontal="left"/>
    </xf>
    <xf numFmtId="164" fontId="8" fillId="4" borderId="10" xfId="0" applyNumberFormat="1" applyFont="1" applyFill="1" applyBorder="1" applyAlignment="1">
      <alignment horizontal="left"/>
    </xf>
    <xf numFmtId="0" fontId="7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left"/>
    </xf>
    <xf numFmtId="0" fontId="7" fillId="4" borderId="11" xfId="0" applyFont="1" applyFill="1" applyBorder="1"/>
    <xf numFmtId="0" fontId="10" fillId="4" borderId="11" xfId="0" applyFont="1" applyFill="1" applyBorder="1" applyAlignment="1">
      <alignment horizontal="center"/>
    </xf>
    <xf numFmtId="164" fontId="7" fillId="4" borderId="11" xfId="0" applyNumberFormat="1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1" xfId="0" applyFont="1" applyFill="1" applyBorder="1"/>
    <xf numFmtId="49" fontId="7" fillId="4" borderId="11" xfId="0" applyNumberFormat="1" applyFont="1" applyFill="1" applyBorder="1" applyAlignment="1">
      <alignment horizontal="left"/>
    </xf>
    <xf numFmtId="0" fontId="7" fillId="4" borderId="11" xfId="0" applyFont="1" applyFill="1" applyBorder="1" applyAlignment="1">
      <alignment horizontal="center" vertical="center"/>
    </xf>
    <xf numFmtId="14" fontId="11" fillId="4" borderId="11" xfId="0" applyNumberFormat="1" applyFont="1" applyFill="1" applyBorder="1" applyAlignment="1">
      <alignment horizontal="left"/>
    </xf>
    <xf numFmtId="164" fontId="8" fillId="4" borderId="12" xfId="0" applyNumberFormat="1" applyFont="1" applyFill="1" applyBorder="1" applyAlignment="1">
      <alignment horizontal="left"/>
    </xf>
    <xf numFmtId="0" fontId="7" fillId="4" borderId="8" xfId="0" applyFont="1" applyFill="1" applyBorder="1"/>
    <xf numFmtId="0" fontId="10" fillId="4" borderId="8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left"/>
    </xf>
    <xf numFmtId="0" fontId="11" fillId="4" borderId="8" xfId="0" applyFont="1" applyFill="1" applyBorder="1"/>
    <xf numFmtId="49" fontId="7" fillId="4" borderId="8" xfId="0" applyNumberFormat="1" applyFont="1" applyFill="1" applyBorder="1" applyAlignment="1">
      <alignment horizontal="left"/>
    </xf>
    <xf numFmtId="0" fontId="7" fillId="4" borderId="8" xfId="0" applyFont="1" applyFill="1" applyBorder="1" applyAlignment="1">
      <alignment horizontal="center" vertical="center"/>
    </xf>
    <xf numFmtId="14" fontId="11" fillId="4" borderId="8" xfId="0" applyNumberFormat="1" applyFont="1" applyFill="1" applyBorder="1" applyAlignment="1">
      <alignment horizontal="left"/>
    </xf>
    <xf numFmtId="0" fontId="8" fillId="4" borderId="13" xfId="0" applyFont="1" applyFill="1" applyBorder="1" applyAlignment="1">
      <alignment horizontal="left"/>
    </xf>
    <xf numFmtId="0" fontId="12" fillId="4" borderId="9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left"/>
    </xf>
    <xf numFmtId="164" fontId="12" fillId="4" borderId="9" xfId="0" applyNumberFormat="1" applyFont="1" applyFill="1" applyBorder="1" applyAlignment="1">
      <alignment horizontal="left"/>
    </xf>
    <xf numFmtId="0" fontId="12" fillId="4" borderId="9" xfId="0" applyFont="1" applyFill="1" applyBorder="1" applyAlignment="1">
      <alignment horizontal="center" vertical="center"/>
    </xf>
    <xf numFmtId="14" fontId="12" fillId="4" borderId="9" xfId="0" applyNumberFormat="1" applyFont="1" applyFill="1" applyBorder="1" applyAlignment="1">
      <alignment horizontal="left" readingOrder="1"/>
    </xf>
    <xf numFmtId="0" fontId="8" fillId="4" borderId="9" xfId="0" applyFont="1" applyFill="1" applyBorder="1" applyAlignment="1">
      <alignment horizontal="left"/>
    </xf>
    <xf numFmtId="0" fontId="13" fillId="4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left"/>
    </xf>
    <xf numFmtId="0" fontId="9" fillId="4" borderId="9" xfId="0" applyFont="1" applyFill="1" applyBorder="1"/>
    <xf numFmtId="49" fontId="12" fillId="4" borderId="9" xfId="0" applyNumberFormat="1" applyFont="1" applyFill="1" applyBorder="1" applyAlignment="1">
      <alignment horizontal="left"/>
    </xf>
    <xf numFmtId="0" fontId="12" fillId="4" borderId="9" xfId="0" applyFont="1" applyFill="1" applyBorder="1"/>
    <xf numFmtId="14" fontId="9" fillId="4" borderId="9" xfId="0" applyNumberFormat="1" applyFont="1" applyFill="1" applyBorder="1" applyAlignment="1">
      <alignment horizontal="left"/>
    </xf>
    <xf numFmtId="0" fontId="14" fillId="4" borderId="9" xfId="0" applyFont="1" applyFill="1" applyBorder="1" applyAlignment="1">
      <alignment horizontal="center"/>
    </xf>
    <xf numFmtId="15" fontId="12" fillId="4" borderId="9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4" borderId="9" xfId="0" quotePrefix="1" applyFont="1" applyFill="1" applyBorder="1" applyAlignment="1">
      <alignment horizontal="left"/>
    </xf>
    <xf numFmtId="0" fontId="12" fillId="4" borderId="9" xfId="0" quotePrefix="1" applyFont="1" applyFill="1" applyBorder="1" applyAlignment="1">
      <alignment horizontal="center" vertical="center"/>
    </xf>
    <xf numFmtId="14" fontId="12" fillId="4" borderId="9" xfId="0" applyNumberFormat="1" applyFont="1" applyFill="1" applyBorder="1" applyAlignment="1">
      <alignment horizontal="left"/>
    </xf>
    <xf numFmtId="17" fontId="5" fillId="0" borderId="6" xfId="0" applyNumberFormat="1" applyFont="1" applyBorder="1" applyAlignment="1">
      <alignment horizontal="left"/>
    </xf>
    <xf numFmtId="0" fontId="9" fillId="4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165" fontId="12" fillId="4" borderId="9" xfId="0" applyNumberFormat="1" applyFont="1" applyFill="1" applyBorder="1" applyAlignment="1">
      <alignment horizontal="left"/>
    </xf>
    <xf numFmtId="0" fontId="12" fillId="0" borderId="9" xfId="0" applyFont="1" applyBorder="1" applyAlignment="1">
      <alignment horizontal="center"/>
    </xf>
    <xf numFmtId="0" fontId="12" fillId="4" borderId="9" xfId="0" applyFont="1" applyFill="1" applyBorder="1" applyAlignment="1">
      <alignment horizontal="left" readingOrder="1"/>
    </xf>
    <xf numFmtId="0" fontId="12" fillId="4" borderId="9" xfId="0" applyFont="1" applyFill="1" applyBorder="1" applyAlignment="1">
      <alignment horizontal="center" readingOrder="1"/>
    </xf>
    <xf numFmtId="0" fontId="12" fillId="4" borderId="9" xfId="0" quotePrefix="1" applyFont="1" applyFill="1" applyBorder="1" applyAlignment="1">
      <alignment horizontal="left" readingOrder="1"/>
    </xf>
    <xf numFmtId="0" fontId="12" fillId="4" borderId="9" xfId="0" applyFont="1" applyFill="1" applyBorder="1" applyAlignment="1">
      <alignment horizontal="center" vertical="center" readingOrder="1"/>
    </xf>
    <xf numFmtId="0" fontId="9" fillId="5" borderId="9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left"/>
    </xf>
    <xf numFmtId="0" fontId="9" fillId="5" borderId="9" xfId="0" applyFont="1" applyFill="1" applyBorder="1" applyAlignment="1">
      <alignment horizontal="left"/>
    </xf>
    <xf numFmtId="166" fontId="9" fillId="5" borderId="9" xfId="0" applyNumberFormat="1" applyFont="1" applyFill="1" applyBorder="1" applyAlignment="1">
      <alignment horizontal="left"/>
    </xf>
    <xf numFmtId="14" fontId="9" fillId="5" borderId="9" xfId="0" applyNumberFormat="1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9" fillId="5" borderId="8" xfId="0" applyFont="1" applyFill="1" applyBorder="1" applyAlignment="1">
      <alignment horizontal="left"/>
    </xf>
    <xf numFmtId="0" fontId="9" fillId="5" borderId="14" xfId="0" applyFont="1" applyFill="1" applyBorder="1" applyAlignment="1">
      <alignment horizontal="left"/>
    </xf>
    <xf numFmtId="0" fontId="9" fillId="5" borderId="14" xfId="0" applyFont="1" applyFill="1" applyBorder="1" applyAlignment="1">
      <alignment horizontal="center"/>
    </xf>
    <xf numFmtId="0" fontId="9" fillId="4" borderId="9" xfId="0" quotePrefix="1" applyFont="1" applyFill="1" applyBorder="1" applyAlignment="1">
      <alignment horizontal="left"/>
    </xf>
    <xf numFmtId="0" fontId="12" fillId="4" borderId="9" xfId="0" applyFont="1" applyFill="1" applyBorder="1" applyAlignment="1">
      <alignment horizontal="left" vertical="center"/>
    </xf>
    <xf numFmtId="0" fontId="12" fillId="4" borderId="9" xfId="0" quotePrefix="1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5" borderId="15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left" vertical="center" readingOrder="1"/>
    </xf>
    <xf numFmtId="0" fontId="13" fillId="4" borderId="9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 vertical="center"/>
    </xf>
    <xf numFmtId="0" fontId="15" fillId="4" borderId="9" xfId="0" applyFont="1" applyFill="1" applyBorder="1" applyAlignment="1">
      <alignment horizontal="left"/>
    </xf>
    <xf numFmtId="0" fontId="12" fillId="6" borderId="9" xfId="0" applyFont="1" applyFill="1" applyBorder="1" applyAlignment="1">
      <alignment horizontal="left"/>
    </xf>
    <xf numFmtId="0" fontId="9" fillId="6" borderId="9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left"/>
    </xf>
    <xf numFmtId="0" fontId="9" fillId="6" borderId="8" xfId="0" applyFont="1" applyFill="1" applyBorder="1" applyAlignment="1">
      <alignment horizontal="left"/>
    </xf>
    <xf numFmtId="0" fontId="9" fillId="6" borderId="14" xfId="0" applyFont="1" applyFill="1" applyBorder="1" applyAlignment="1">
      <alignment horizontal="left"/>
    </xf>
    <xf numFmtId="0" fontId="9" fillId="6" borderId="14" xfId="0" applyFont="1" applyFill="1" applyBorder="1" applyAlignment="1">
      <alignment horizontal="center"/>
    </xf>
    <xf numFmtId="164" fontId="9" fillId="6" borderId="9" xfId="0" applyNumberFormat="1" applyFont="1" applyFill="1" applyBorder="1" applyAlignment="1">
      <alignment horizontal="left"/>
    </xf>
    <xf numFmtId="0" fontId="9" fillId="6" borderId="9" xfId="0" applyFont="1" applyFill="1" applyBorder="1"/>
    <xf numFmtId="49" fontId="9" fillId="6" borderId="9" xfId="0" applyNumberFormat="1" applyFont="1" applyFill="1" applyBorder="1" applyAlignment="1">
      <alignment horizontal="left"/>
    </xf>
    <xf numFmtId="0" fontId="9" fillId="6" borderId="9" xfId="0" applyFont="1" applyFill="1" applyBorder="1" applyAlignment="1">
      <alignment horizontal="left" vertical="center"/>
    </xf>
    <xf numFmtId="14" fontId="9" fillId="6" borderId="9" xfId="0" applyNumberFormat="1" applyFont="1" applyFill="1" applyBorder="1" applyAlignment="1">
      <alignment horizontal="left"/>
    </xf>
    <xf numFmtId="0" fontId="9" fillId="6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5" fillId="4" borderId="9" xfId="0" applyFont="1" applyFill="1" applyBorder="1"/>
    <xf numFmtId="0" fontId="12" fillId="5" borderId="9" xfId="0" applyFont="1" applyFill="1" applyBorder="1"/>
    <xf numFmtId="0" fontId="9" fillId="0" borderId="9" xfId="0" applyFont="1" applyBorder="1" applyAlignment="1">
      <alignment horizontal="left"/>
    </xf>
    <xf numFmtId="0" fontId="9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.com/" TargetMode="External"/><Relationship Id="rId2" Type="http://schemas.openxmlformats.org/officeDocument/2006/relationships/hyperlink" Target="mailto:sameerzahid397@gmail.com" TargetMode="External"/><Relationship Id="rId1" Type="http://schemas.openxmlformats.org/officeDocument/2006/relationships/hyperlink" Target="mailto:azi401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F0C1-FE86-8945-9836-7025818E806E}">
  <dimension ref="A1:AS1004"/>
  <sheetViews>
    <sheetView tabSelected="1" workbookViewId="0">
      <selection sqref="A1:XFD1048576"/>
    </sheetView>
  </sheetViews>
  <sheetFormatPr baseColWidth="10" defaultColWidth="14.5" defaultRowHeight="16" x14ac:dyDescent="0.2"/>
  <cols>
    <col min="1" max="1" width="11.6640625" customWidth="1"/>
    <col min="2" max="2" width="13.5" customWidth="1"/>
    <col min="3" max="3" width="33.6640625" customWidth="1"/>
    <col min="4" max="4" width="22.1640625" customWidth="1"/>
    <col min="5" max="5" width="18" customWidth="1"/>
    <col min="6" max="6" width="38.1640625" customWidth="1"/>
    <col min="7" max="7" width="28.83203125" customWidth="1"/>
    <col min="8" max="8" width="33.33203125" customWidth="1"/>
    <col min="9" max="9" width="27.5" customWidth="1"/>
    <col min="10" max="10" width="36.83203125" customWidth="1"/>
    <col min="11" max="11" width="34.6640625" customWidth="1"/>
    <col min="12" max="12" width="24.5" customWidth="1"/>
    <col min="13" max="13" width="21.5" customWidth="1"/>
    <col min="14" max="15" width="41.1640625" customWidth="1"/>
    <col min="16" max="16" width="32.33203125" customWidth="1"/>
    <col min="17" max="17" width="45.33203125" customWidth="1"/>
    <col min="18" max="18" width="66" customWidth="1"/>
    <col min="19" max="19" width="21.83203125" customWidth="1"/>
    <col min="20" max="20" width="61.1640625" customWidth="1"/>
    <col min="21" max="21" width="46.6640625" customWidth="1"/>
    <col min="22" max="22" width="20.33203125" customWidth="1"/>
    <col min="23" max="23" width="21.5" customWidth="1"/>
    <col min="24" max="24" width="51.33203125" customWidth="1"/>
    <col min="25" max="25" width="19.83203125" customWidth="1"/>
    <col min="26" max="26" width="23.5" customWidth="1"/>
    <col min="27" max="27" width="34.1640625" customWidth="1"/>
    <col min="28" max="45" width="8.6640625" customWidth="1"/>
  </cols>
  <sheetData>
    <row r="1" spans="1:45" ht="39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6" t="s">
        <v>25</v>
      </c>
      <c r="AA1" s="6" t="s">
        <v>26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ht="47.25" customHeight="1" thickBot="1" x14ac:dyDescent="0.6">
      <c r="A2" s="8">
        <v>45627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45" ht="25.5" customHeight="1" x14ac:dyDescent="0.25">
      <c r="A3" s="11">
        <v>1</v>
      </c>
      <c r="B3" s="11" t="s">
        <v>27</v>
      </c>
      <c r="C3" s="12" t="s">
        <v>28</v>
      </c>
      <c r="D3" s="13" t="s">
        <v>29</v>
      </c>
      <c r="E3" s="12" t="s">
        <v>30</v>
      </c>
      <c r="F3" s="12" t="s">
        <v>31</v>
      </c>
      <c r="G3" s="12" t="s">
        <v>32</v>
      </c>
      <c r="H3" s="13" t="s">
        <v>33</v>
      </c>
      <c r="I3" s="11" t="s">
        <v>34</v>
      </c>
      <c r="J3" s="14">
        <v>45489</v>
      </c>
      <c r="K3" s="14"/>
      <c r="L3" s="12" t="s">
        <v>35</v>
      </c>
      <c r="M3" s="12" t="s">
        <v>36</v>
      </c>
      <c r="N3" s="12" t="s">
        <v>37</v>
      </c>
      <c r="O3" s="15" t="str">
        <f t="shared" ref="O3:O4" si="0">IF(LEN(N3)=24, "Valid", "Invalid - Must be 24 digits")</f>
        <v>Valid</v>
      </c>
      <c r="P3" s="13">
        <v>3410001241</v>
      </c>
      <c r="Q3" s="13" t="s">
        <v>38</v>
      </c>
      <c r="R3" s="16" t="s">
        <v>39</v>
      </c>
      <c r="S3" s="17">
        <v>35119</v>
      </c>
      <c r="T3" s="13" t="s">
        <v>40</v>
      </c>
      <c r="U3" s="13" t="s">
        <v>41</v>
      </c>
      <c r="V3" s="13" t="s">
        <v>42</v>
      </c>
      <c r="W3" s="13" t="s">
        <v>43</v>
      </c>
      <c r="X3" s="18">
        <v>45653</v>
      </c>
      <c r="Y3" s="13" t="s">
        <v>44</v>
      </c>
    </row>
    <row r="4" spans="1:45" ht="26.25" customHeight="1" thickBot="1" x14ac:dyDescent="0.3">
      <c r="A4" s="19">
        <v>1</v>
      </c>
      <c r="B4" s="19" t="s">
        <v>45</v>
      </c>
      <c r="C4" s="20" t="s">
        <v>46</v>
      </c>
      <c r="D4" s="21" t="s">
        <v>47</v>
      </c>
      <c r="E4" s="20"/>
      <c r="F4" s="20"/>
      <c r="G4" s="20" t="s">
        <v>48</v>
      </c>
      <c r="H4" s="21" t="s">
        <v>49</v>
      </c>
      <c r="I4" s="22" t="s">
        <v>34</v>
      </c>
      <c r="J4" s="23">
        <v>45498</v>
      </c>
      <c r="K4" s="23"/>
      <c r="L4" s="24" t="s">
        <v>50</v>
      </c>
      <c r="M4" s="20" t="s">
        <v>51</v>
      </c>
      <c r="N4" s="25" t="s">
        <v>52</v>
      </c>
      <c r="O4" s="15" t="str">
        <f t="shared" si="0"/>
        <v>Valid</v>
      </c>
      <c r="P4" s="26">
        <v>3364955330</v>
      </c>
      <c r="Q4" s="21" t="s">
        <v>53</v>
      </c>
      <c r="R4" s="27">
        <v>3075375659</v>
      </c>
      <c r="S4" s="28">
        <v>33615</v>
      </c>
      <c r="T4" s="21" t="s">
        <v>54</v>
      </c>
      <c r="U4" s="21" t="s">
        <v>54</v>
      </c>
      <c r="V4" s="21" t="s">
        <v>55</v>
      </c>
      <c r="W4" s="21" t="s">
        <v>56</v>
      </c>
      <c r="X4" s="29">
        <v>45653</v>
      </c>
      <c r="Y4" s="13" t="s">
        <v>44</v>
      </c>
    </row>
    <row r="5" spans="1:45" ht="45.75" customHeight="1" thickBot="1" x14ac:dyDescent="0.6">
      <c r="A5" s="8">
        <v>45658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45" ht="26.25" customHeight="1" x14ac:dyDescent="0.25">
      <c r="A6" s="11">
        <v>1</v>
      </c>
      <c r="B6" s="11" t="s">
        <v>57</v>
      </c>
      <c r="C6" s="12" t="s">
        <v>58</v>
      </c>
      <c r="D6" s="30" t="s">
        <v>59</v>
      </c>
      <c r="E6" s="12" t="s">
        <v>30</v>
      </c>
      <c r="F6" s="12" t="s">
        <v>31</v>
      </c>
      <c r="G6" s="12" t="s">
        <v>60</v>
      </c>
      <c r="H6" s="30" t="s">
        <v>61</v>
      </c>
      <c r="I6" s="31" t="s">
        <v>62</v>
      </c>
      <c r="J6" s="14">
        <v>45607</v>
      </c>
      <c r="K6" s="14">
        <v>45699</v>
      </c>
      <c r="L6" s="32" t="s">
        <v>63</v>
      </c>
      <c r="M6" s="12" t="s">
        <v>64</v>
      </c>
      <c r="N6" s="33" t="s">
        <v>65</v>
      </c>
      <c r="O6" s="15" t="str">
        <f t="shared" ref="O6:O20" si="1">IF(LEN(N6)=24, "Valid", "Invalid - Must be 24 digits")</f>
        <v>Valid</v>
      </c>
      <c r="P6" s="34" t="s">
        <v>66</v>
      </c>
      <c r="Q6" s="30" t="s">
        <v>67</v>
      </c>
      <c r="R6" s="35" t="s">
        <v>68</v>
      </c>
      <c r="S6" s="36">
        <v>34880</v>
      </c>
      <c r="T6" s="30" t="s">
        <v>69</v>
      </c>
      <c r="U6" s="30" t="s">
        <v>70</v>
      </c>
      <c r="V6" s="30" t="s">
        <v>71</v>
      </c>
      <c r="W6" s="30" t="s">
        <v>56</v>
      </c>
      <c r="X6" s="18">
        <v>45671</v>
      </c>
      <c r="Y6" s="37" t="s">
        <v>44</v>
      </c>
    </row>
    <row r="7" spans="1:45" ht="21" x14ac:dyDescent="0.25">
      <c r="A7" s="38">
        <v>2</v>
      </c>
      <c r="B7" s="38" t="s">
        <v>72</v>
      </c>
      <c r="C7" s="39" t="s">
        <v>73</v>
      </c>
      <c r="D7" s="39" t="s">
        <v>74</v>
      </c>
      <c r="E7" s="39" t="s">
        <v>75</v>
      </c>
      <c r="F7" s="39" t="s">
        <v>76</v>
      </c>
      <c r="G7" s="39" t="s">
        <v>77</v>
      </c>
      <c r="H7" s="38" t="s">
        <v>78</v>
      </c>
      <c r="I7" s="38" t="s">
        <v>34</v>
      </c>
      <c r="J7" s="40">
        <v>45264</v>
      </c>
      <c r="K7" s="40" t="s">
        <v>79</v>
      </c>
      <c r="L7" s="39" t="s">
        <v>80</v>
      </c>
      <c r="M7" s="39" t="s">
        <v>81</v>
      </c>
      <c r="N7" s="39" t="s">
        <v>82</v>
      </c>
      <c r="O7" s="15" t="str">
        <f t="shared" si="1"/>
        <v>Valid</v>
      </c>
      <c r="P7" s="39" t="s">
        <v>83</v>
      </c>
      <c r="Q7" s="39" t="s">
        <v>84</v>
      </c>
      <c r="R7" s="41" t="s">
        <v>83</v>
      </c>
      <c r="S7" s="42"/>
      <c r="T7" s="39" t="s">
        <v>85</v>
      </c>
      <c r="U7" s="39"/>
      <c r="V7" s="39" t="s">
        <v>86</v>
      </c>
      <c r="W7" s="38"/>
      <c r="X7" s="18">
        <v>45667</v>
      </c>
      <c r="Y7" s="43" t="s">
        <v>87</v>
      </c>
    </row>
    <row r="8" spans="1:45" ht="21" x14ac:dyDescent="0.25">
      <c r="A8" s="11">
        <v>3</v>
      </c>
      <c r="B8" s="38" t="s">
        <v>88</v>
      </c>
      <c r="C8" s="39" t="s">
        <v>89</v>
      </c>
      <c r="D8" s="39" t="s">
        <v>90</v>
      </c>
      <c r="E8" s="39" t="s">
        <v>91</v>
      </c>
      <c r="F8" s="39" t="s">
        <v>92</v>
      </c>
      <c r="G8" s="39" t="s">
        <v>93</v>
      </c>
      <c r="H8" s="38" t="s">
        <v>94</v>
      </c>
      <c r="I8" s="38" t="s">
        <v>34</v>
      </c>
      <c r="J8" s="40">
        <v>45566</v>
      </c>
      <c r="K8" s="40">
        <v>45658</v>
      </c>
      <c r="L8" s="39" t="s">
        <v>95</v>
      </c>
      <c r="M8" s="12" t="s">
        <v>64</v>
      </c>
      <c r="N8" s="39" t="s">
        <v>96</v>
      </c>
      <c r="O8" s="15" t="str">
        <f t="shared" si="1"/>
        <v>Valid</v>
      </c>
      <c r="P8" s="39" t="s">
        <v>97</v>
      </c>
      <c r="Q8" s="39" t="s">
        <v>98</v>
      </c>
      <c r="R8" s="41" t="s">
        <v>99</v>
      </c>
      <c r="S8" s="42">
        <v>34806</v>
      </c>
      <c r="T8" s="39" t="s">
        <v>100</v>
      </c>
      <c r="U8" s="39" t="s">
        <v>100</v>
      </c>
      <c r="V8" s="39" t="s">
        <v>101</v>
      </c>
      <c r="W8" s="38" t="s">
        <v>43</v>
      </c>
      <c r="X8" s="18">
        <v>45688</v>
      </c>
      <c r="Y8" s="13" t="s">
        <v>44</v>
      </c>
    </row>
    <row r="9" spans="1:45" ht="21" x14ac:dyDescent="0.25">
      <c r="A9" s="38">
        <v>4</v>
      </c>
      <c r="B9" s="38" t="s">
        <v>102</v>
      </c>
      <c r="C9" s="39" t="s">
        <v>103</v>
      </c>
      <c r="D9" s="39" t="s">
        <v>104</v>
      </c>
      <c r="E9" s="39" t="s">
        <v>91</v>
      </c>
      <c r="F9" s="39" t="s">
        <v>92</v>
      </c>
      <c r="G9" s="39" t="s">
        <v>93</v>
      </c>
      <c r="H9" s="38" t="s">
        <v>105</v>
      </c>
      <c r="I9" s="38" t="s">
        <v>34</v>
      </c>
      <c r="J9" s="40">
        <v>45575</v>
      </c>
      <c r="K9" s="40">
        <v>45667</v>
      </c>
      <c r="L9" s="39" t="s">
        <v>106</v>
      </c>
      <c r="M9" s="39" t="s">
        <v>107</v>
      </c>
      <c r="N9" s="39" t="s">
        <v>108</v>
      </c>
      <c r="O9" s="15" t="str">
        <f t="shared" si="1"/>
        <v>Valid</v>
      </c>
      <c r="P9" s="39">
        <v>3412985838</v>
      </c>
      <c r="Q9" s="39" t="s">
        <v>109</v>
      </c>
      <c r="R9" s="41" t="s">
        <v>110</v>
      </c>
      <c r="S9" s="42">
        <v>37409</v>
      </c>
      <c r="T9" s="39" t="s">
        <v>111</v>
      </c>
      <c r="U9" s="39" t="s">
        <v>112</v>
      </c>
      <c r="V9" s="39" t="s">
        <v>113</v>
      </c>
      <c r="W9" s="38" t="s">
        <v>114</v>
      </c>
      <c r="X9" s="18">
        <v>45688</v>
      </c>
      <c r="Y9" s="13" t="s">
        <v>44</v>
      </c>
    </row>
    <row r="10" spans="1:45" ht="21" x14ac:dyDescent="0.25">
      <c r="A10" s="11">
        <v>5</v>
      </c>
      <c r="B10" s="38" t="s">
        <v>115</v>
      </c>
      <c r="C10" s="39" t="s">
        <v>116</v>
      </c>
      <c r="D10" s="39" t="s">
        <v>117</v>
      </c>
      <c r="E10" s="39" t="s">
        <v>91</v>
      </c>
      <c r="F10" s="39" t="s">
        <v>92</v>
      </c>
      <c r="G10" s="39" t="s">
        <v>93</v>
      </c>
      <c r="H10" s="38" t="s">
        <v>105</v>
      </c>
      <c r="I10" s="38" t="s">
        <v>34</v>
      </c>
      <c r="J10" s="40">
        <v>45575</v>
      </c>
      <c r="K10" s="40">
        <v>45667</v>
      </c>
      <c r="L10" s="39" t="s">
        <v>118</v>
      </c>
      <c r="M10" s="39" t="s">
        <v>119</v>
      </c>
      <c r="N10" s="39" t="s">
        <v>120</v>
      </c>
      <c r="O10" s="15" t="str">
        <f t="shared" si="1"/>
        <v>Valid</v>
      </c>
      <c r="P10" s="39">
        <v>3227840249</v>
      </c>
      <c r="Q10" s="39" t="s">
        <v>121</v>
      </c>
      <c r="R10" s="41" t="s">
        <v>122</v>
      </c>
      <c r="S10" s="42">
        <v>37582</v>
      </c>
      <c r="T10" s="39" t="s">
        <v>123</v>
      </c>
      <c r="U10" s="39" t="s">
        <v>124</v>
      </c>
      <c r="V10" s="39" t="s">
        <v>125</v>
      </c>
      <c r="W10" s="38" t="s">
        <v>43</v>
      </c>
      <c r="X10" s="18">
        <v>45688</v>
      </c>
      <c r="Y10" s="13" t="s">
        <v>44</v>
      </c>
    </row>
    <row r="11" spans="1:45" ht="21" x14ac:dyDescent="0.25">
      <c r="A11" s="38">
        <v>6</v>
      </c>
      <c r="B11" s="38" t="s">
        <v>126</v>
      </c>
      <c r="C11" s="39" t="s">
        <v>127</v>
      </c>
      <c r="D11" s="39" t="s">
        <v>128</v>
      </c>
      <c r="E11" s="39" t="s">
        <v>91</v>
      </c>
      <c r="F11" s="39" t="s">
        <v>92</v>
      </c>
      <c r="G11" s="39" t="s">
        <v>93</v>
      </c>
      <c r="H11" s="38" t="s">
        <v>105</v>
      </c>
      <c r="I11" s="38" t="s">
        <v>34</v>
      </c>
      <c r="J11" s="40">
        <v>45575</v>
      </c>
      <c r="K11" s="40">
        <v>45667</v>
      </c>
      <c r="L11" s="39" t="s">
        <v>129</v>
      </c>
      <c r="M11" s="39" t="s">
        <v>107</v>
      </c>
      <c r="N11" s="39" t="s">
        <v>130</v>
      </c>
      <c r="O11" s="15" t="str">
        <f t="shared" si="1"/>
        <v>Valid</v>
      </c>
      <c r="P11" s="39">
        <v>3125534724</v>
      </c>
      <c r="Q11" s="39" t="s">
        <v>131</v>
      </c>
      <c r="R11" s="41" t="s">
        <v>132</v>
      </c>
      <c r="S11" s="42">
        <v>37538</v>
      </c>
      <c r="T11" s="39" t="s">
        <v>133</v>
      </c>
      <c r="U11" s="39" t="s">
        <v>133</v>
      </c>
      <c r="V11" s="39" t="s">
        <v>134</v>
      </c>
      <c r="W11" s="38" t="s">
        <v>56</v>
      </c>
      <c r="X11" s="18">
        <v>45688</v>
      </c>
      <c r="Y11" s="13" t="s">
        <v>44</v>
      </c>
    </row>
    <row r="12" spans="1:45" ht="21" x14ac:dyDescent="0.25">
      <c r="A12" s="11">
        <v>7</v>
      </c>
      <c r="B12" s="38" t="s">
        <v>135</v>
      </c>
      <c r="C12" s="39" t="s">
        <v>136</v>
      </c>
      <c r="D12" s="39" t="s">
        <v>137</v>
      </c>
      <c r="E12" s="39" t="s">
        <v>138</v>
      </c>
      <c r="F12" s="39" t="s">
        <v>76</v>
      </c>
      <c r="G12" s="39" t="s">
        <v>139</v>
      </c>
      <c r="H12" s="38" t="s">
        <v>94</v>
      </c>
      <c r="I12" s="38" t="s">
        <v>34</v>
      </c>
      <c r="J12" s="40">
        <v>45425</v>
      </c>
      <c r="K12" s="40" t="s">
        <v>79</v>
      </c>
      <c r="L12" s="39" t="s">
        <v>140</v>
      </c>
      <c r="M12" s="39" t="s">
        <v>81</v>
      </c>
      <c r="N12" s="39" t="s">
        <v>141</v>
      </c>
      <c r="O12" s="15" t="str">
        <f t="shared" si="1"/>
        <v>Valid</v>
      </c>
      <c r="P12" s="39" t="s">
        <v>142</v>
      </c>
      <c r="Q12" s="39" t="s">
        <v>143</v>
      </c>
      <c r="R12" s="41" t="s">
        <v>144</v>
      </c>
      <c r="S12" s="42"/>
      <c r="T12" s="39" t="s">
        <v>145</v>
      </c>
      <c r="U12" s="39"/>
      <c r="V12" s="39" t="s">
        <v>146</v>
      </c>
      <c r="W12" s="38"/>
      <c r="X12" s="18">
        <v>45688</v>
      </c>
      <c r="Y12" s="13" t="s">
        <v>44</v>
      </c>
    </row>
    <row r="13" spans="1:45" ht="21" x14ac:dyDescent="0.25">
      <c r="A13" s="38">
        <v>8</v>
      </c>
      <c r="B13" s="38" t="s">
        <v>147</v>
      </c>
      <c r="C13" s="39" t="s">
        <v>148</v>
      </c>
      <c r="D13" s="39" t="s">
        <v>149</v>
      </c>
      <c r="E13" s="39" t="s">
        <v>138</v>
      </c>
      <c r="F13" s="39" t="s">
        <v>76</v>
      </c>
      <c r="G13" s="39" t="s">
        <v>150</v>
      </c>
      <c r="H13" s="38" t="s">
        <v>151</v>
      </c>
      <c r="I13" s="38" t="s">
        <v>34</v>
      </c>
      <c r="J13" s="40">
        <v>45383</v>
      </c>
      <c r="K13" s="40" t="s">
        <v>79</v>
      </c>
      <c r="L13" s="39" t="s">
        <v>152</v>
      </c>
      <c r="M13" s="39" t="s">
        <v>81</v>
      </c>
      <c r="N13" s="39" t="s">
        <v>153</v>
      </c>
      <c r="O13" s="15" t="str">
        <f t="shared" si="1"/>
        <v>Valid</v>
      </c>
      <c r="P13" s="39">
        <v>3359557747</v>
      </c>
      <c r="Q13" s="39" t="s">
        <v>154</v>
      </c>
      <c r="R13" s="41">
        <v>3071503877</v>
      </c>
      <c r="S13" s="42">
        <v>36070</v>
      </c>
      <c r="T13" s="39" t="s">
        <v>155</v>
      </c>
      <c r="U13" s="39"/>
      <c r="V13" s="39" t="s">
        <v>86</v>
      </c>
      <c r="W13" s="38"/>
      <c r="X13" s="18">
        <v>45688</v>
      </c>
      <c r="Y13" s="13" t="s">
        <v>44</v>
      </c>
    </row>
    <row r="14" spans="1:45" ht="21" x14ac:dyDescent="0.25">
      <c r="A14" s="11">
        <v>9</v>
      </c>
      <c r="B14" s="38" t="s">
        <v>156</v>
      </c>
      <c r="C14" s="39" t="s">
        <v>157</v>
      </c>
      <c r="D14" s="39" t="s">
        <v>158</v>
      </c>
      <c r="E14" s="39" t="s">
        <v>138</v>
      </c>
      <c r="F14" s="39" t="s">
        <v>76</v>
      </c>
      <c r="G14" s="39" t="s">
        <v>150</v>
      </c>
      <c r="H14" s="38" t="s">
        <v>159</v>
      </c>
      <c r="I14" s="38" t="s">
        <v>34</v>
      </c>
      <c r="J14" s="40">
        <v>45481</v>
      </c>
      <c r="K14" s="40" t="s">
        <v>79</v>
      </c>
      <c r="L14" s="39" t="s">
        <v>160</v>
      </c>
      <c r="M14" s="39" t="s">
        <v>161</v>
      </c>
      <c r="N14" s="39" t="s">
        <v>162</v>
      </c>
      <c r="O14" s="15" t="str">
        <f t="shared" si="1"/>
        <v>Valid</v>
      </c>
      <c r="P14" s="39">
        <v>3374663037</v>
      </c>
      <c r="Q14" s="39" t="s">
        <v>163</v>
      </c>
      <c r="R14" s="41" t="s">
        <v>164</v>
      </c>
      <c r="S14" s="42">
        <v>36021</v>
      </c>
      <c r="T14" s="39" t="s">
        <v>165</v>
      </c>
      <c r="U14" s="39" t="s">
        <v>166</v>
      </c>
      <c r="V14" s="39" t="s">
        <v>167</v>
      </c>
      <c r="W14" s="38" t="s">
        <v>43</v>
      </c>
      <c r="X14" s="18">
        <v>45688</v>
      </c>
      <c r="Y14" s="13" t="s">
        <v>44</v>
      </c>
    </row>
    <row r="15" spans="1:45" ht="21" x14ac:dyDescent="0.25">
      <c r="A15" s="38">
        <v>10</v>
      </c>
      <c r="B15" s="38" t="s">
        <v>168</v>
      </c>
      <c r="C15" s="39" t="s">
        <v>169</v>
      </c>
      <c r="D15" s="39" t="s">
        <v>170</v>
      </c>
      <c r="E15" s="39" t="s">
        <v>171</v>
      </c>
      <c r="F15" s="39" t="s">
        <v>172</v>
      </c>
      <c r="G15" s="39" t="s">
        <v>173</v>
      </c>
      <c r="H15" s="38" t="s">
        <v>94</v>
      </c>
      <c r="I15" s="38" t="s">
        <v>34</v>
      </c>
      <c r="J15" s="40">
        <v>45002</v>
      </c>
      <c r="K15" s="40" t="s">
        <v>79</v>
      </c>
      <c r="L15" s="39" t="s">
        <v>174</v>
      </c>
      <c r="M15" s="39" t="s">
        <v>81</v>
      </c>
      <c r="N15" s="39" t="s">
        <v>175</v>
      </c>
      <c r="O15" s="15" t="str">
        <f t="shared" si="1"/>
        <v>Valid</v>
      </c>
      <c r="P15" s="39" t="s">
        <v>176</v>
      </c>
      <c r="Q15" s="39" t="s">
        <v>177</v>
      </c>
      <c r="R15" s="41" t="s">
        <v>178</v>
      </c>
      <c r="S15" s="42">
        <v>35264</v>
      </c>
      <c r="T15" s="39" t="s">
        <v>179</v>
      </c>
      <c r="U15" s="39"/>
      <c r="V15" s="39"/>
      <c r="W15" s="38"/>
      <c r="X15" s="18">
        <v>45688</v>
      </c>
      <c r="Y15" s="13" t="s">
        <v>44</v>
      </c>
    </row>
    <row r="16" spans="1:45" ht="21" x14ac:dyDescent="0.25">
      <c r="A16" s="11">
        <v>11</v>
      </c>
      <c r="B16" s="38" t="s">
        <v>180</v>
      </c>
      <c r="C16" s="39" t="s">
        <v>181</v>
      </c>
      <c r="D16" s="39" t="s">
        <v>182</v>
      </c>
      <c r="E16" s="39" t="s">
        <v>183</v>
      </c>
      <c r="F16" s="39" t="s">
        <v>92</v>
      </c>
      <c r="G16" s="39" t="s">
        <v>184</v>
      </c>
      <c r="H16" s="38" t="s">
        <v>185</v>
      </c>
      <c r="I16" s="38" t="s">
        <v>186</v>
      </c>
      <c r="J16" s="40">
        <v>45587</v>
      </c>
      <c r="K16" s="40">
        <v>45687</v>
      </c>
      <c r="L16" s="39" t="s">
        <v>79</v>
      </c>
      <c r="M16" s="39" t="s">
        <v>187</v>
      </c>
      <c r="N16" s="39" t="s">
        <v>188</v>
      </c>
      <c r="O16" s="15" t="str">
        <f t="shared" si="1"/>
        <v>Invalid - Must be 24 digits</v>
      </c>
      <c r="P16" s="39">
        <v>3355596958</v>
      </c>
      <c r="Q16" s="39" t="s">
        <v>189</v>
      </c>
      <c r="R16" s="41" t="s">
        <v>190</v>
      </c>
      <c r="S16" s="42">
        <v>37137</v>
      </c>
      <c r="T16" s="39" t="s">
        <v>191</v>
      </c>
      <c r="U16" s="39" t="s">
        <v>192</v>
      </c>
      <c r="V16" s="39" t="s">
        <v>193</v>
      </c>
      <c r="W16" s="38" t="s">
        <v>56</v>
      </c>
      <c r="X16" s="18">
        <v>45688</v>
      </c>
      <c r="Y16" s="13" t="s">
        <v>44</v>
      </c>
    </row>
    <row r="17" spans="1:45" ht="21" x14ac:dyDescent="0.25">
      <c r="A17" s="11">
        <v>13</v>
      </c>
      <c r="B17" s="38" t="s">
        <v>194</v>
      </c>
      <c r="C17" s="39" t="s">
        <v>195</v>
      </c>
      <c r="D17" s="39" t="s">
        <v>196</v>
      </c>
      <c r="E17" s="39" t="s">
        <v>183</v>
      </c>
      <c r="F17" s="39" t="s">
        <v>92</v>
      </c>
      <c r="G17" s="39" t="s">
        <v>184</v>
      </c>
      <c r="H17" s="38" t="s">
        <v>197</v>
      </c>
      <c r="I17" s="38" t="s">
        <v>186</v>
      </c>
      <c r="J17" s="40">
        <v>45586</v>
      </c>
      <c r="K17" s="40">
        <v>45687</v>
      </c>
      <c r="L17" s="39" t="s">
        <v>79</v>
      </c>
      <c r="M17" s="39" t="s">
        <v>187</v>
      </c>
      <c r="N17" s="39" t="s">
        <v>188</v>
      </c>
      <c r="O17" s="15" t="str">
        <f t="shared" si="1"/>
        <v>Invalid - Must be 24 digits</v>
      </c>
      <c r="P17" s="39" t="s">
        <v>198</v>
      </c>
      <c r="Q17" s="39" t="s">
        <v>199</v>
      </c>
      <c r="R17" s="41" t="s">
        <v>200</v>
      </c>
      <c r="S17" s="42">
        <v>36778</v>
      </c>
      <c r="T17" s="39" t="s">
        <v>201</v>
      </c>
      <c r="U17" s="39" t="s">
        <v>201</v>
      </c>
      <c r="V17" s="39" t="s">
        <v>202</v>
      </c>
      <c r="W17" s="38" t="s">
        <v>203</v>
      </c>
      <c r="X17" s="18">
        <v>45688</v>
      </c>
      <c r="Y17" s="13" t="s">
        <v>44</v>
      </c>
    </row>
    <row r="18" spans="1:45" ht="21" x14ac:dyDescent="0.25">
      <c r="A18" s="38">
        <v>14</v>
      </c>
      <c r="B18" s="38" t="s">
        <v>204</v>
      </c>
      <c r="C18" s="39" t="s">
        <v>205</v>
      </c>
      <c r="D18" s="39" t="s">
        <v>206</v>
      </c>
      <c r="E18" s="39" t="s">
        <v>183</v>
      </c>
      <c r="F18" s="39" t="s">
        <v>92</v>
      </c>
      <c r="G18" s="39" t="s">
        <v>184</v>
      </c>
      <c r="H18" s="38" t="s">
        <v>207</v>
      </c>
      <c r="I18" s="38" t="s">
        <v>186</v>
      </c>
      <c r="J18" s="40">
        <v>45572</v>
      </c>
      <c r="K18" s="40">
        <v>45687</v>
      </c>
      <c r="L18" s="39" t="s">
        <v>79</v>
      </c>
      <c r="M18" s="39" t="s">
        <v>187</v>
      </c>
      <c r="N18" s="39" t="s">
        <v>188</v>
      </c>
      <c r="O18" s="15" t="str">
        <f t="shared" si="1"/>
        <v>Invalid - Must be 24 digits</v>
      </c>
      <c r="P18" s="39" t="s">
        <v>208</v>
      </c>
      <c r="Q18" s="39" t="s">
        <v>209</v>
      </c>
      <c r="R18" s="41" t="s">
        <v>210</v>
      </c>
      <c r="S18" s="42">
        <v>36809</v>
      </c>
      <c r="T18" s="39" t="s">
        <v>211</v>
      </c>
      <c r="U18" s="39" t="s">
        <v>211</v>
      </c>
      <c r="V18" s="39" t="s">
        <v>212</v>
      </c>
      <c r="W18" s="38" t="s">
        <v>203</v>
      </c>
      <c r="X18" s="18">
        <v>45688</v>
      </c>
      <c r="Y18" s="13" t="s">
        <v>44</v>
      </c>
    </row>
    <row r="19" spans="1:45" ht="21" x14ac:dyDescent="0.25">
      <c r="A19" s="11">
        <v>15</v>
      </c>
      <c r="B19" s="38" t="s">
        <v>213</v>
      </c>
      <c r="C19" s="39" t="s">
        <v>214</v>
      </c>
      <c r="D19" s="39" t="s">
        <v>215</v>
      </c>
      <c r="E19" s="39" t="s">
        <v>216</v>
      </c>
      <c r="F19" s="39" t="s">
        <v>216</v>
      </c>
      <c r="G19" s="39" t="s">
        <v>216</v>
      </c>
      <c r="H19" s="38" t="s">
        <v>217</v>
      </c>
      <c r="I19" s="38" t="s">
        <v>62</v>
      </c>
      <c r="J19" s="40">
        <v>45600</v>
      </c>
      <c r="K19" s="40">
        <v>45692</v>
      </c>
      <c r="L19" s="39" t="s">
        <v>218</v>
      </c>
      <c r="M19" s="39" t="s">
        <v>219</v>
      </c>
      <c r="N19" s="39" t="s">
        <v>220</v>
      </c>
      <c r="O19" s="15" t="str">
        <f t="shared" si="1"/>
        <v>Valid</v>
      </c>
      <c r="P19" s="39">
        <v>3364699699</v>
      </c>
      <c r="Q19" s="39" t="s">
        <v>221</v>
      </c>
      <c r="R19" s="41" t="s">
        <v>222</v>
      </c>
      <c r="S19" s="42">
        <v>34597</v>
      </c>
      <c r="T19" s="39" t="s">
        <v>223</v>
      </c>
      <c r="U19" s="39" t="s">
        <v>223</v>
      </c>
      <c r="V19" s="39" t="s">
        <v>224</v>
      </c>
      <c r="W19" s="38" t="s">
        <v>225</v>
      </c>
      <c r="X19" s="18">
        <v>45688</v>
      </c>
      <c r="Y19" s="13" t="s">
        <v>44</v>
      </c>
    </row>
    <row r="20" spans="1:45" ht="22" thickBot="1" x14ac:dyDescent="0.3">
      <c r="A20" s="38">
        <v>16</v>
      </c>
      <c r="B20" s="38" t="s">
        <v>226</v>
      </c>
      <c r="C20" s="39" t="s">
        <v>227</v>
      </c>
      <c r="D20" s="39" t="s">
        <v>228</v>
      </c>
      <c r="E20" s="39" t="s">
        <v>79</v>
      </c>
      <c r="F20" s="39" t="s">
        <v>79</v>
      </c>
      <c r="G20" s="39" t="s">
        <v>229</v>
      </c>
      <c r="H20" s="38" t="s">
        <v>230</v>
      </c>
      <c r="I20" s="44" t="s">
        <v>186</v>
      </c>
      <c r="J20" s="40">
        <v>45601</v>
      </c>
      <c r="K20" s="40">
        <v>45693</v>
      </c>
      <c r="L20" s="45" t="s">
        <v>231</v>
      </c>
      <c r="M20" s="39" t="s">
        <v>81</v>
      </c>
      <c r="N20" s="46" t="s">
        <v>232</v>
      </c>
      <c r="O20" s="15" t="str">
        <f t="shared" si="1"/>
        <v>Valid</v>
      </c>
      <c r="P20" s="47" t="s">
        <v>233</v>
      </c>
      <c r="Q20" s="48" t="s">
        <v>234</v>
      </c>
      <c r="R20" s="41" t="s">
        <v>235</v>
      </c>
      <c r="S20" s="49">
        <v>35509</v>
      </c>
      <c r="T20" s="48" t="s">
        <v>236</v>
      </c>
      <c r="U20" s="48" t="s">
        <v>236</v>
      </c>
      <c r="V20" s="48" t="s">
        <v>237</v>
      </c>
      <c r="W20" s="48" t="s">
        <v>114</v>
      </c>
      <c r="X20" s="18">
        <v>45688</v>
      </c>
      <c r="Y20" s="13" t="s">
        <v>44</v>
      </c>
    </row>
    <row r="21" spans="1:45" ht="15.75" customHeight="1" thickBot="1" x14ac:dyDescent="0.6">
      <c r="A21" s="8">
        <v>45689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</row>
    <row r="22" spans="1:45" ht="15.75" customHeight="1" x14ac:dyDescent="0.25">
      <c r="A22" s="38">
        <v>1</v>
      </c>
      <c r="B22" s="38" t="s">
        <v>238</v>
      </c>
      <c r="C22" s="39" t="s">
        <v>239</v>
      </c>
      <c r="D22" s="39" t="s">
        <v>196</v>
      </c>
      <c r="E22" s="39" t="s">
        <v>79</v>
      </c>
      <c r="F22" s="39" t="s">
        <v>79</v>
      </c>
      <c r="G22" s="39" t="s">
        <v>240</v>
      </c>
      <c r="H22" s="38" t="s">
        <v>241</v>
      </c>
      <c r="I22" s="44" t="s">
        <v>62</v>
      </c>
      <c r="J22" s="40">
        <v>45663</v>
      </c>
      <c r="K22" s="40">
        <v>45754</v>
      </c>
      <c r="L22" s="45" t="s">
        <v>242</v>
      </c>
      <c r="M22" s="39" t="s">
        <v>243</v>
      </c>
      <c r="N22" s="46" t="s">
        <v>244</v>
      </c>
      <c r="O22" s="15" t="str">
        <f t="shared" ref="O22:O30" si="2">IF(LEN(N22)=24, "Valid", "Invalid - Must be 24 digits")</f>
        <v>Valid</v>
      </c>
      <c r="P22" s="47">
        <v>3323763254</v>
      </c>
      <c r="Q22" s="48" t="s">
        <v>245</v>
      </c>
      <c r="R22" s="41">
        <v>3342244945</v>
      </c>
      <c r="S22" s="49">
        <v>35866</v>
      </c>
      <c r="T22" s="48" t="s">
        <v>246</v>
      </c>
      <c r="U22" s="48" t="s">
        <v>246</v>
      </c>
      <c r="V22" s="48" t="s">
        <v>247</v>
      </c>
      <c r="W22" s="48" t="s">
        <v>203</v>
      </c>
      <c r="X22" s="18">
        <v>45695</v>
      </c>
      <c r="Y22" s="13" t="s">
        <v>44</v>
      </c>
    </row>
    <row r="23" spans="1:45" ht="15.75" customHeight="1" x14ac:dyDescent="0.25">
      <c r="A23" s="38">
        <v>2</v>
      </c>
      <c r="B23" s="38" t="s">
        <v>248</v>
      </c>
      <c r="C23" s="39" t="s">
        <v>249</v>
      </c>
      <c r="D23" s="39" t="s">
        <v>250</v>
      </c>
      <c r="E23" s="39" t="s">
        <v>251</v>
      </c>
      <c r="F23" s="39" t="s">
        <v>31</v>
      </c>
      <c r="G23" s="39" t="s">
        <v>252</v>
      </c>
      <c r="H23" s="38" t="s">
        <v>253</v>
      </c>
      <c r="I23" s="38" t="s">
        <v>34</v>
      </c>
      <c r="J23" s="40" t="s">
        <v>79</v>
      </c>
      <c r="K23" s="40" t="s">
        <v>79</v>
      </c>
      <c r="L23" s="45" t="s">
        <v>254</v>
      </c>
      <c r="M23" s="39" t="s">
        <v>81</v>
      </c>
      <c r="N23" s="46" t="s">
        <v>255</v>
      </c>
      <c r="O23" s="15" t="str">
        <f t="shared" si="2"/>
        <v>Invalid - Must be 24 digits</v>
      </c>
      <c r="P23" s="47">
        <v>3160157573</v>
      </c>
      <c r="Q23" s="48" t="s">
        <v>256</v>
      </c>
      <c r="R23" s="41">
        <v>3410547540</v>
      </c>
      <c r="S23" s="49">
        <v>35437</v>
      </c>
      <c r="T23" s="48" t="s">
        <v>257</v>
      </c>
      <c r="U23" s="48"/>
      <c r="V23" s="48" t="s">
        <v>258</v>
      </c>
      <c r="W23" s="48"/>
      <c r="X23" s="18">
        <v>45702</v>
      </c>
      <c r="Y23" s="13" t="s">
        <v>44</v>
      </c>
    </row>
    <row r="24" spans="1:45" ht="15.75" customHeight="1" x14ac:dyDescent="0.25">
      <c r="A24" s="38">
        <v>3</v>
      </c>
      <c r="B24" s="38">
        <v>134</v>
      </c>
      <c r="C24" s="39" t="s">
        <v>259</v>
      </c>
      <c r="D24" s="39" t="s">
        <v>260</v>
      </c>
      <c r="E24" s="39" t="s">
        <v>261</v>
      </c>
      <c r="F24" s="39" t="s">
        <v>31</v>
      </c>
      <c r="G24" s="39" t="s">
        <v>262</v>
      </c>
      <c r="H24" s="38" t="s">
        <v>263</v>
      </c>
      <c r="I24" s="38" t="s">
        <v>34</v>
      </c>
      <c r="J24" s="40">
        <v>45505</v>
      </c>
      <c r="K24" s="40" t="s">
        <v>79</v>
      </c>
      <c r="L24" s="39" t="s">
        <v>264</v>
      </c>
      <c r="M24" s="39" t="s">
        <v>64</v>
      </c>
      <c r="N24" s="39" t="s">
        <v>265</v>
      </c>
      <c r="O24" s="15" t="str">
        <f t="shared" si="2"/>
        <v>Valid</v>
      </c>
      <c r="P24" s="38">
        <v>3450555401</v>
      </c>
      <c r="Q24" s="50" t="s">
        <v>266</v>
      </c>
      <c r="R24" s="41">
        <v>3189428899</v>
      </c>
      <c r="S24" s="51" t="s">
        <v>267</v>
      </c>
      <c r="T24" s="38" t="s">
        <v>268</v>
      </c>
      <c r="U24" s="39" t="s">
        <v>268</v>
      </c>
      <c r="V24" s="38" t="s">
        <v>269</v>
      </c>
      <c r="W24" s="39" t="s">
        <v>203</v>
      </c>
      <c r="X24" s="18">
        <v>45702</v>
      </c>
      <c r="Y24" s="13" t="s">
        <v>44</v>
      </c>
    </row>
    <row r="25" spans="1:45" ht="15.75" customHeight="1" x14ac:dyDescent="0.25">
      <c r="A25" s="38">
        <v>4</v>
      </c>
      <c r="B25" s="38" t="s">
        <v>270</v>
      </c>
      <c r="C25" s="39" t="s">
        <v>271</v>
      </c>
      <c r="D25" s="48" t="s">
        <v>272</v>
      </c>
      <c r="E25" s="39" t="s">
        <v>30</v>
      </c>
      <c r="F25" s="39" t="s">
        <v>31</v>
      </c>
      <c r="G25" s="39" t="s">
        <v>273</v>
      </c>
      <c r="H25" s="38" t="s">
        <v>274</v>
      </c>
      <c r="I25" s="38" t="s">
        <v>34</v>
      </c>
      <c r="J25" s="40">
        <v>45518</v>
      </c>
      <c r="K25" s="40" t="s">
        <v>79</v>
      </c>
      <c r="L25" s="39" t="s">
        <v>275</v>
      </c>
      <c r="M25" s="39" t="s">
        <v>64</v>
      </c>
      <c r="N25" s="39" t="s">
        <v>276</v>
      </c>
      <c r="O25" s="15" t="str">
        <f t="shared" si="2"/>
        <v>Valid</v>
      </c>
      <c r="P25" s="39" t="s">
        <v>277</v>
      </c>
      <c r="Q25" s="48" t="s">
        <v>278</v>
      </c>
      <c r="R25" s="41" t="s">
        <v>279</v>
      </c>
      <c r="S25" s="49">
        <v>35527</v>
      </c>
      <c r="T25" s="48" t="s">
        <v>280</v>
      </c>
      <c r="U25" s="48" t="s">
        <v>280</v>
      </c>
      <c r="V25" s="48" t="s">
        <v>281</v>
      </c>
      <c r="W25" s="39" t="s">
        <v>43</v>
      </c>
      <c r="X25" s="18">
        <v>45702</v>
      </c>
      <c r="Y25" s="13" t="s">
        <v>44</v>
      </c>
    </row>
    <row r="26" spans="1:45" ht="15.75" customHeight="1" x14ac:dyDescent="0.25">
      <c r="A26" s="38">
        <v>5</v>
      </c>
      <c r="B26" s="38" t="s">
        <v>282</v>
      </c>
      <c r="C26" s="39" t="s">
        <v>283</v>
      </c>
      <c r="D26" s="48" t="s">
        <v>284</v>
      </c>
      <c r="E26" s="39" t="s">
        <v>285</v>
      </c>
      <c r="F26" s="39" t="s">
        <v>286</v>
      </c>
      <c r="G26" s="39" t="s">
        <v>287</v>
      </c>
      <c r="H26" s="38" t="s">
        <v>288</v>
      </c>
      <c r="I26" s="44" t="s">
        <v>62</v>
      </c>
      <c r="J26" s="40">
        <v>45628</v>
      </c>
      <c r="K26" s="40">
        <v>45719</v>
      </c>
      <c r="L26" s="45" t="s">
        <v>289</v>
      </c>
      <c r="M26" s="39" t="s">
        <v>64</v>
      </c>
      <c r="N26" s="46" t="s">
        <v>290</v>
      </c>
      <c r="O26" s="15" t="str">
        <f t="shared" si="2"/>
        <v>Valid</v>
      </c>
      <c r="P26" s="39" t="s">
        <v>291</v>
      </c>
      <c r="Q26" s="48" t="s">
        <v>292</v>
      </c>
      <c r="R26" s="41" t="s">
        <v>293</v>
      </c>
      <c r="S26" s="49">
        <v>37168</v>
      </c>
      <c r="T26" s="48" t="s">
        <v>294</v>
      </c>
      <c r="U26" s="48" t="s">
        <v>294</v>
      </c>
      <c r="V26" s="48" t="s">
        <v>295</v>
      </c>
      <c r="W26" s="39" t="s">
        <v>79</v>
      </c>
      <c r="X26" s="18">
        <v>45709</v>
      </c>
      <c r="Y26" s="13" t="s">
        <v>44</v>
      </c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</row>
    <row r="27" spans="1:45" ht="15.75" customHeight="1" x14ac:dyDescent="0.25">
      <c r="A27" s="38">
        <v>6</v>
      </c>
      <c r="B27" s="38" t="s">
        <v>296</v>
      </c>
      <c r="C27" s="39" t="s">
        <v>297</v>
      </c>
      <c r="D27" s="39" t="s">
        <v>298</v>
      </c>
      <c r="E27" s="39" t="s">
        <v>30</v>
      </c>
      <c r="F27" s="39" t="s">
        <v>31</v>
      </c>
      <c r="G27" s="39" t="s">
        <v>299</v>
      </c>
      <c r="H27" s="38" t="s">
        <v>300</v>
      </c>
      <c r="I27" s="38" t="s">
        <v>34</v>
      </c>
      <c r="J27" s="40">
        <v>44909</v>
      </c>
      <c r="K27" s="40" t="s">
        <v>79</v>
      </c>
      <c r="L27" s="39" t="s">
        <v>301</v>
      </c>
      <c r="M27" s="39" t="s">
        <v>81</v>
      </c>
      <c r="N27" s="39" t="s">
        <v>302</v>
      </c>
      <c r="O27" s="15" t="str">
        <f t="shared" si="2"/>
        <v>Valid</v>
      </c>
      <c r="P27" s="53" t="s">
        <v>303</v>
      </c>
      <c r="Q27" s="39" t="s">
        <v>304</v>
      </c>
      <c r="R27" s="54" t="s">
        <v>305</v>
      </c>
      <c r="S27" s="55">
        <v>37836</v>
      </c>
      <c r="T27" s="39" t="s">
        <v>306</v>
      </c>
      <c r="U27" s="39"/>
      <c r="V27" s="45" t="s">
        <v>307</v>
      </c>
      <c r="W27" s="39"/>
      <c r="X27" s="18">
        <v>45709</v>
      </c>
      <c r="Y27" s="13" t="s">
        <v>44</v>
      </c>
    </row>
    <row r="28" spans="1:45" ht="15.75" customHeight="1" x14ac:dyDescent="0.25">
      <c r="A28" s="38">
        <v>7</v>
      </c>
      <c r="B28" s="38" t="s">
        <v>308</v>
      </c>
      <c r="C28" s="39" t="s">
        <v>309</v>
      </c>
      <c r="D28" s="39" t="s">
        <v>310</v>
      </c>
      <c r="E28" s="39" t="s">
        <v>251</v>
      </c>
      <c r="F28" s="39" t="s">
        <v>31</v>
      </c>
      <c r="G28" s="39" t="s">
        <v>311</v>
      </c>
      <c r="H28" s="38" t="s">
        <v>312</v>
      </c>
      <c r="I28" s="38" t="s">
        <v>34</v>
      </c>
      <c r="J28" s="40">
        <v>45453</v>
      </c>
      <c r="K28" s="40" t="s">
        <v>79</v>
      </c>
      <c r="L28" s="39" t="s">
        <v>313</v>
      </c>
      <c r="M28" s="39" t="s">
        <v>314</v>
      </c>
      <c r="N28" s="39" t="s">
        <v>315</v>
      </c>
      <c r="O28" s="15" t="str">
        <f t="shared" si="2"/>
        <v>Valid</v>
      </c>
      <c r="P28" s="39">
        <v>3119145705</v>
      </c>
      <c r="Q28" s="39" t="s">
        <v>316</v>
      </c>
      <c r="R28" s="41">
        <v>3119145705</v>
      </c>
      <c r="S28" s="42"/>
      <c r="T28" s="39" t="s">
        <v>317</v>
      </c>
      <c r="U28" s="39"/>
      <c r="V28" s="39" t="s">
        <v>86</v>
      </c>
      <c r="W28" s="39"/>
      <c r="X28" s="18">
        <v>45716</v>
      </c>
      <c r="Y28" s="13" t="s">
        <v>44</v>
      </c>
    </row>
    <row r="29" spans="1:45" ht="15.75" customHeight="1" x14ac:dyDescent="0.25">
      <c r="A29" s="38">
        <v>8</v>
      </c>
      <c r="B29" s="38" t="s">
        <v>318</v>
      </c>
      <c r="C29" s="39" t="s">
        <v>319</v>
      </c>
      <c r="D29" s="39" t="s">
        <v>79</v>
      </c>
      <c r="E29" s="39" t="s">
        <v>75</v>
      </c>
      <c r="F29" s="39" t="s">
        <v>76</v>
      </c>
      <c r="G29" s="39" t="s">
        <v>77</v>
      </c>
      <c r="H29" s="38" t="s">
        <v>79</v>
      </c>
      <c r="I29" s="38" t="s">
        <v>34</v>
      </c>
      <c r="J29" s="40" t="s">
        <v>79</v>
      </c>
      <c r="K29" s="40" t="s">
        <v>79</v>
      </c>
      <c r="L29" s="39" t="s">
        <v>320</v>
      </c>
      <c r="M29" s="39" t="s">
        <v>219</v>
      </c>
      <c r="N29" s="39" t="s">
        <v>321</v>
      </c>
      <c r="O29" s="15" t="str">
        <f t="shared" si="2"/>
        <v>Valid</v>
      </c>
      <c r="P29" s="38"/>
      <c r="Q29" s="38"/>
      <c r="R29" s="41"/>
      <c r="S29" s="38"/>
      <c r="T29" s="38"/>
      <c r="U29" s="38"/>
      <c r="V29" s="38"/>
      <c r="W29" s="39"/>
      <c r="X29" s="18">
        <v>45693</v>
      </c>
      <c r="Y29" s="13" t="s">
        <v>44</v>
      </c>
    </row>
    <row r="30" spans="1:45" ht="15.75" customHeight="1" thickBot="1" x14ac:dyDescent="0.3">
      <c r="A30" s="38">
        <v>9</v>
      </c>
      <c r="B30" s="38" t="s">
        <v>322</v>
      </c>
      <c r="C30" s="39" t="s">
        <v>323</v>
      </c>
      <c r="D30" s="39" t="s">
        <v>324</v>
      </c>
      <c r="E30" s="39" t="s">
        <v>325</v>
      </c>
      <c r="F30" s="39" t="s">
        <v>326</v>
      </c>
      <c r="G30" s="39" t="s">
        <v>48</v>
      </c>
      <c r="H30" s="38" t="s">
        <v>327</v>
      </c>
      <c r="I30" s="44" t="s">
        <v>62</v>
      </c>
      <c r="J30" s="40">
        <v>45695</v>
      </c>
      <c r="K30" s="40">
        <v>45784</v>
      </c>
      <c r="L30" s="45" t="s">
        <v>328</v>
      </c>
      <c r="M30" s="39" t="s">
        <v>329</v>
      </c>
      <c r="N30" s="46" t="s">
        <v>330</v>
      </c>
      <c r="O30" s="15" t="str">
        <f t="shared" si="2"/>
        <v>Valid</v>
      </c>
      <c r="P30" s="47" t="s">
        <v>331</v>
      </c>
      <c r="Q30" s="48" t="s">
        <v>332</v>
      </c>
      <c r="R30" s="41" t="s">
        <v>333</v>
      </c>
      <c r="S30" s="49">
        <v>32732</v>
      </c>
      <c r="T30" s="48" t="s">
        <v>334</v>
      </c>
      <c r="U30" s="48" t="s">
        <v>334</v>
      </c>
      <c r="V30" s="48" t="s">
        <v>335</v>
      </c>
      <c r="W30" s="39" t="s">
        <v>203</v>
      </c>
      <c r="X30" s="18">
        <v>45715</v>
      </c>
      <c r="Y30" s="43" t="s">
        <v>87</v>
      </c>
    </row>
    <row r="31" spans="1:45" ht="15.75" customHeight="1" thickBot="1" x14ac:dyDescent="0.6">
      <c r="A31" s="8">
        <v>45717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56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 spans="1:45" ht="19.5" customHeight="1" x14ac:dyDescent="0.25">
      <c r="A32" s="38">
        <v>1</v>
      </c>
      <c r="B32" s="38" t="s">
        <v>336</v>
      </c>
      <c r="C32" s="48" t="s">
        <v>337</v>
      </c>
      <c r="D32" s="48" t="s">
        <v>338</v>
      </c>
      <c r="E32" s="39" t="s">
        <v>79</v>
      </c>
      <c r="F32" s="39" t="s">
        <v>79</v>
      </c>
      <c r="G32" s="39" t="s">
        <v>339</v>
      </c>
      <c r="H32" s="38" t="s">
        <v>340</v>
      </c>
      <c r="I32" s="44" t="s">
        <v>62</v>
      </c>
      <c r="J32" s="40">
        <v>45656</v>
      </c>
      <c r="K32" s="40">
        <v>45747</v>
      </c>
      <c r="L32" s="39" t="s">
        <v>341</v>
      </c>
      <c r="M32" s="39" t="s">
        <v>342</v>
      </c>
      <c r="N32" s="39" t="s">
        <v>343</v>
      </c>
      <c r="O32" s="15" t="str">
        <f t="shared" ref="O32:O39" si="3">IF(LEN(N32)=24, "Valid", "Invalid - Must be 24 digits")</f>
        <v>Valid</v>
      </c>
      <c r="P32" s="39" t="s">
        <v>344</v>
      </c>
      <c r="Q32" s="48" t="s">
        <v>345</v>
      </c>
      <c r="R32" s="41" t="s">
        <v>346</v>
      </c>
      <c r="S32" s="49">
        <v>35586</v>
      </c>
      <c r="T32" s="48" t="s">
        <v>347</v>
      </c>
      <c r="U32" s="48" t="s">
        <v>347</v>
      </c>
      <c r="V32" s="48" t="s">
        <v>348</v>
      </c>
      <c r="W32" s="39" t="s">
        <v>43</v>
      </c>
      <c r="X32" s="18">
        <v>45723</v>
      </c>
      <c r="Y32" s="13" t="s">
        <v>349</v>
      </c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</row>
    <row r="33" spans="1:44" ht="19.5" customHeight="1" x14ac:dyDescent="0.25">
      <c r="A33" s="38">
        <v>2</v>
      </c>
      <c r="B33" s="38" t="s">
        <v>350</v>
      </c>
      <c r="C33" s="39" t="s">
        <v>351</v>
      </c>
      <c r="D33" s="39" t="s">
        <v>352</v>
      </c>
      <c r="E33" s="39" t="s">
        <v>30</v>
      </c>
      <c r="F33" s="39" t="s">
        <v>31</v>
      </c>
      <c r="G33" s="39" t="s">
        <v>353</v>
      </c>
      <c r="H33" s="38" t="s">
        <v>354</v>
      </c>
      <c r="I33" s="44" t="s">
        <v>62</v>
      </c>
      <c r="J33" s="40">
        <v>45715</v>
      </c>
      <c r="K33" s="40">
        <v>45804</v>
      </c>
      <c r="L33" s="45" t="s">
        <v>355</v>
      </c>
      <c r="M33" s="39" t="s">
        <v>356</v>
      </c>
      <c r="N33" s="46" t="s">
        <v>357</v>
      </c>
      <c r="O33" s="15" t="str">
        <f t="shared" si="3"/>
        <v>Valid</v>
      </c>
      <c r="P33" s="47" t="s">
        <v>358</v>
      </c>
      <c r="Q33" s="48" t="s">
        <v>359</v>
      </c>
      <c r="R33" s="41" t="s">
        <v>360</v>
      </c>
      <c r="S33" s="49">
        <v>36845</v>
      </c>
      <c r="T33" s="48" t="s">
        <v>361</v>
      </c>
      <c r="U33" s="48" t="s">
        <v>361</v>
      </c>
      <c r="V33" s="48" t="s">
        <v>362</v>
      </c>
      <c r="W33" s="39" t="s">
        <v>203</v>
      </c>
      <c r="X33" s="18">
        <v>45730</v>
      </c>
      <c r="Y33" s="13" t="s">
        <v>44</v>
      </c>
    </row>
    <row r="34" spans="1:44" ht="19.5" customHeight="1" x14ac:dyDescent="0.25">
      <c r="A34" s="38">
        <v>3</v>
      </c>
      <c r="B34" s="38" t="s">
        <v>363</v>
      </c>
      <c r="C34" s="39" t="s">
        <v>364</v>
      </c>
      <c r="D34" s="45" t="s">
        <v>365</v>
      </c>
      <c r="E34" s="39" t="s">
        <v>251</v>
      </c>
      <c r="F34" s="39" t="s">
        <v>31</v>
      </c>
      <c r="G34" s="39" t="s">
        <v>311</v>
      </c>
      <c r="H34" s="57" t="s">
        <v>134</v>
      </c>
      <c r="I34" s="38" t="s">
        <v>34</v>
      </c>
      <c r="J34" s="40">
        <v>45495</v>
      </c>
      <c r="K34" s="40" t="s">
        <v>79</v>
      </c>
      <c r="L34" s="39" t="s">
        <v>366</v>
      </c>
      <c r="M34" s="39" t="s">
        <v>367</v>
      </c>
      <c r="N34" s="39" t="s">
        <v>368</v>
      </c>
      <c r="O34" s="15" t="str">
        <f t="shared" si="3"/>
        <v>Valid</v>
      </c>
      <c r="P34" s="45">
        <v>3431770015</v>
      </c>
      <c r="Q34" s="45" t="s">
        <v>369</v>
      </c>
      <c r="R34" s="58">
        <v>3466480015</v>
      </c>
      <c r="S34" s="49">
        <v>37440</v>
      </c>
      <c r="T34" s="45" t="s">
        <v>370</v>
      </c>
      <c r="U34" s="45" t="s">
        <v>371</v>
      </c>
      <c r="V34" s="45" t="s">
        <v>372</v>
      </c>
      <c r="W34" s="45"/>
      <c r="X34" s="18">
        <v>45735</v>
      </c>
      <c r="Y34" s="13" t="s">
        <v>349</v>
      </c>
    </row>
    <row r="35" spans="1:44" ht="19.5" customHeight="1" x14ac:dyDescent="0.25">
      <c r="A35" s="38">
        <v>4</v>
      </c>
      <c r="B35" s="38" t="s">
        <v>373</v>
      </c>
      <c r="C35" s="39" t="s">
        <v>374</v>
      </c>
      <c r="D35" s="39" t="s">
        <v>375</v>
      </c>
      <c r="E35" s="39" t="s">
        <v>79</v>
      </c>
      <c r="F35" s="39" t="s">
        <v>79</v>
      </c>
      <c r="G35" s="39" t="s">
        <v>376</v>
      </c>
      <c r="H35" s="38" t="s">
        <v>377</v>
      </c>
      <c r="I35" s="44" t="s">
        <v>62</v>
      </c>
      <c r="J35" s="40">
        <v>45691</v>
      </c>
      <c r="K35" s="40">
        <v>45780</v>
      </c>
      <c r="L35" s="45" t="s">
        <v>378</v>
      </c>
      <c r="M35" s="39" t="s">
        <v>379</v>
      </c>
      <c r="N35" s="46" t="s">
        <v>380</v>
      </c>
      <c r="O35" s="15" t="str">
        <f t="shared" si="3"/>
        <v>Valid</v>
      </c>
      <c r="P35" s="47" t="s">
        <v>381</v>
      </c>
      <c r="Q35" s="48" t="s">
        <v>382</v>
      </c>
      <c r="R35" s="41" t="s">
        <v>79</v>
      </c>
      <c r="S35" s="49">
        <v>30549</v>
      </c>
      <c r="T35" s="48" t="s">
        <v>383</v>
      </c>
      <c r="U35" s="48" t="s">
        <v>383</v>
      </c>
      <c r="V35" s="48" t="s">
        <v>384</v>
      </c>
      <c r="W35" s="39" t="s">
        <v>385</v>
      </c>
      <c r="X35" s="18">
        <v>45744</v>
      </c>
      <c r="Y35" s="13" t="s">
        <v>349</v>
      </c>
    </row>
    <row r="36" spans="1:44" ht="19.5" customHeight="1" x14ac:dyDescent="0.25">
      <c r="A36" s="38">
        <v>5</v>
      </c>
      <c r="B36" s="38" t="s">
        <v>386</v>
      </c>
      <c r="C36" s="39" t="s">
        <v>387</v>
      </c>
      <c r="D36" s="39" t="s">
        <v>388</v>
      </c>
      <c r="E36" s="39" t="s">
        <v>325</v>
      </c>
      <c r="F36" s="39" t="s">
        <v>326</v>
      </c>
      <c r="G36" s="39" t="s">
        <v>389</v>
      </c>
      <c r="H36" s="38" t="s">
        <v>390</v>
      </c>
      <c r="I36" s="44" t="s">
        <v>62</v>
      </c>
      <c r="J36" s="40">
        <v>45714</v>
      </c>
      <c r="K36" s="40">
        <v>45803</v>
      </c>
      <c r="L36" s="45" t="s">
        <v>391</v>
      </c>
      <c r="M36" s="39" t="s">
        <v>243</v>
      </c>
      <c r="N36" s="46" t="s">
        <v>392</v>
      </c>
      <c r="O36" s="15" t="str">
        <f t="shared" si="3"/>
        <v>Valid</v>
      </c>
      <c r="P36" s="47" t="s">
        <v>393</v>
      </c>
      <c r="Q36" s="48" t="s">
        <v>394</v>
      </c>
      <c r="R36" s="41" t="s">
        <v>393</v>
      </c>
      <c r="S36" s="49">
        <v>36551</v>
      </c>
      <c r="T36" s="48" t="s">
        <v>395</v>
      </c>
      <c r="U36" s="48" t="s">
        <v>395</v>
      </c>
      <c r="V36" s="48" t="s">
        <v>396</v>
      </c>
      <c r="W36" s="39" t="s">
        <v>397</v>
      </c>
      <c r="X36" s="18">
        <v>45747</v>
      </c>
      <c r="Y36" s="13" t="s">
        <v>44</v>
      </c>
    </row>
    <row r="37" spans="1:44" ht="19.5" customHeight="1" x14ac:dyDescent="0.25">
      <c r="A37" s="38">
        <v>6</v>
      </c>
      <c r="B37" s="38" t="s">
        <v>398</v>
      </c>
      <c r="C37" s="39" t="s">
        <v>399</v>
      </c>
      <c r="D37" s="39" t="s">
        <v>400</v>
      </c>
      <c r="E37" s="39" t="s">
        <v>325</v>
      </c>
      <c r="F37" s="39" t="s">
        <v>326</v>
      </c>
      <c r="G37" s="39" t="s">
        <v>48</v>
      </c>
      <c r="H37" s="38" t="s">
        <v>390</v>
      </c>
      <c r="I37" s="44" t="s">
        <v>62</v>
      </c>
      <c r="J37" s="40">
        <v>45722</v>
      </c>
      <c r="K37" s="40">
        <v>45814</v>
      </c>
      <c r="L37" s="40" t="s">
        <v>401</v>
      </c>
      <c r="M37" s="45" t="s">
        <v>379</v>
      </c>
      <c r="N37" s="39" t="s">
        <v>402</v>
      </c>
      <c r="O37" s="15" t="str">
        <f t="shared" si="3"/>
        <v>Valid</v>
      </c>
      <c r="P37" s="46" t="s">
        <v>403</v>
      </c>
      <c r="Q37" s="47" t="s">
        <v>404</v>
      </c>
      <c r="R37" s="41" t="s">
        <v>405</v>
      </c>
      <c r="S37" s="49">
        <v>37172</v>
      </c>
      <c r="T37" s="49" t="s">
        <v>406</v>
      </c>
      <c r="U37" s="48" t="s">
        <v>406</v>
      </c>
      <c r="V37" s="48" t="s">
        <v>407</v>
      </c>
      <c r="W37" s="48" t="s">
        <v>79</v>
      </c>
      <c r="X37" s="18">
        <v>45747</v>
      </c>
      <c r="Y37" s="13" t="s">
        <v>44</v>
      </c>
    </row>
    <row r="38" spans="1:44" ht="19.5" customHeight="1" x14ac:dyDescent="0.25">
      <c r="A38" s="38">
        <v>7</v>
      </c>
      <c r="B38" s="38" t="s">
        <v>408</v>
      </c>
      <c r="C38" s="39" t="s">
        <v>409</v>
      </c>
      <c r="D38" s="39" t="s">
        <v>410</v>
      </c>
      <c r="E38" s="39" t="s">
        <v>30</v>
      </c>
      <c r="F38" s="39" t="s">
        <v>31</v>
      </c>
      <c r="G38" s="39" t="s">
        <v>299</v>
      </c>
      <c r="H38" s="38" t="s">
        <v>300</v>
      </c>
      <c r="I38" s="38" t="s">
        <v>34</v>
      </c>
      <c r="J38" s="40">
        <v>44902</v>
      </c>
      <c r="K38" s="40" t="s">
        <v>79</v>
      </c>
      <c r="L38" s="39" t="s">
        <v>411</v>
      </c>
      <c r="M38" s="39" t="s">
        <v>81</v>
      </c>
      <c r="N38" s="39" t="s">
        <v>412</v>
      </c>
      <c r="O38" s="15" t="str">
        <f t="shared" si="3"/>
        <v>Valid</v>
      </c>
      <c r="P38" s="39" t="s">
        <v>413</v>
      </c>
      <c r="Q38" s="39" t="s">
        <v>414</v>
      </c>
      <c r="R38" s="41" t="s">
        <v>415</v>
      </c>
      <c r="S38" s="55">
        <v>35772</v>
      </c>
      <c r="T38" s="39" t="s">
        <v>416</v>
      </c>
      <c r="U38" s="39"/>
      <c r="V38" s="39" t="s">
        <v>417</v>
      </c>
      <c r="W38" s="39"/>
      <c r="X38" s="18">
        <v>45747</v>
      </c>
      <c r="Y38" s="13" t="s">
        <v>44</v>
      </c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</row>
    <row r="39" spans="1:44" ht="19.5" customHeight="1" x14ac:dyDescent="0.25">
      <c r="A39" s="38">
        <v>8</v>
      </c>
      <c r="B39" s="38" t="s">
        <v>418</v>
      </c>
      <c r="C39" s="39" t="s">
        <v>419</v>
      </c>
      <c r="D39" s="48" t="s">
        <v>420</v>
      </c>
      <c r="E39" s="39" t="s">
        <v>421</v>
      </c>
      <c r="F39" s="39" t="s">
        <v>172</v>
      </c>
      <c r="G39" s="39" t="s">
        <v>422</v>
      </c>
      <c r="H39" s="57" t="s">
        <v>423</v>
      </c>
      <c r="I39" s="38" t="s">
        <v>34</v>
      </c>
      <c r="J39" s="40">
        <v>45496</v>
      </c>
      <c r="K39" s="40" t="s">
        <v>79</v>
      </c>
      <c r="L39" s="39" t="s">
        <v>424</v>
      </c>
      <c r="M39" s="39" t="s">
        <v>425</v>
      </c>
      <c r="N39" s="39" t="s">
        <v>426</v>
      </c>
      <c r="O39" s="15" t="str">
        <f t="shared" si="3"/>
        <v>Valid</v>
      </c>
      <c r="P39" s="39" t="s">
        <v>427</v>
      </c>
      <c r="Q39" s="48" t="s">
        <v>428</v>
      </c>
      <c r="R39" s="41" t="s">
        <v>429</v>
      </c>
      <c r="S39" s="49">
        <v>36330</v>
      </c>
      <c r="T39" s="48" t="s">
        <v>430</v>
      </c>
      <c r="U39" s="48" t="s">
        <v>430</v>
      </c>
      <c r="V39" s="48" t="s">
        <v>431</v>
      </c>
      <c r="W39" s="39" t="s">
        <v>56</v>
      </c>
      <c r="X39" s="18">
        <v>45747</v>
      </c>
      <c r="Y39" s="13" t="s">
        <v>44</v>
      </c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</row>
    <row r="41" spans="1:44" ht="15.75" customHeight="1" thickBot="1" x14ac:dyDescent="0.6">
      <c r="A41" s="8">
        <v>45748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</row>
    <row r="42" spans="1:44" ht="26.25" customHeight="1" x14ac:dyDescent="0.25">
      <c r="A42" s="38">
        <v>1</v>
      </c>
      <c r="B42" s="38" t="s">
        <v>432</v>
      </c>
      <c r="C42" s="46" t="s">
        <v>433</v>
      </c>
      <c r="D42" s="48" t="s">
        <v>434</v>
      </c>
      <c r="E42" s="39" t="s">
        <v>435</v>
      </c>
      <c r="F42" s="39" t="s">
        <v>31</v>
      </c>
      <c r="G42" s="39" t="s">
        <v>311</v>
      </c>
      <c r="H42" s="38" t="s">
        <v>436</v>
      </c>
      <c r="I42" s="44" t="s">
        <v>186</v>
      </c>
      <c r="J42" s="40">
        <v>45638</v>
      </c>
      <c r="K42" s="40">
        <v>45728</v>
      </c>
      <c r="L42" s="46" t="s">
        <v>437</v>
      </c>
      <c r="M42" s="39" t="s">
        <v>329</v>
      </c>
      <c r="N42" s="46" t="s">
        <v>438</v>
      </c>
      <c r="O42" s="15" t="str">
        <f t="shared" ref="O42:O45" si="4">IF(LEN(N42)=24, "Valid", "Invalid - Must be 24 digits")</f>
        <v>Valid</v>
      </c>
      <c r="P42" s="39" t="s">
        <v>439</v>
      </c>
      <c r="Q42" s="48" t="s">
        <v>440</v>
      </c>
      <c r="R42" s="41" t="s">
        <v>441</v>
      </c>
      <c r="S42" s="49">
        <v>37300</v>
      </c>
      <c r="T42" s="48" t="s">
        <v>442</v>
      </c>
      <c r="U42" s="48" t="s">
        <v>443</v>
      </c>
      <c r="V42" s="48" t="s">
        <v>444</v>
      </c>
      <c r="W42" s="39" t="s">
        <v>445</v>
      </c>
      <c r="X42" s="18">
        <v>45762</v>
      </c>
      <c r="Y42" s="13" t="s">
        <v>44</v>
      </c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</row>
    <row r="43" spans="1:44" ht="26.25" customHeight="1" x14ac:dyDescent="0.25">
      <c r="A43" s="38">
        <v>2</v>
      </c>
      <c r="B43" s="38" t="s">
        <v>446</v>
      </c>
      <c r="C43" s="39" t="s">
        <v>447</v>
      </c>
      <c r="D43" s="39" t="s">
        <v>448</v>
      </c>
      <c r="E43" s="39" t="s">
        <v>449</v>
      </c>
      <c r="F43" s="39"/>
      <c r="G43" s="39" t="s">
        <v>376</v>
      </c>
      <c r="H43" s="38" t="s">
        <v>450</v>
      </c>
      <c r="I43" s="44" t="s">
        <v>62</v>
      </c>
      <c r="J43" s="40">
        <v>45750</v>
      </c>
      <c r="K43" s="40">
        <v>45841</v>
      </c>
      <c r="L43" s="40" t="s">
        <v>451</v>
      </c>
      <c r="M43" s="39" t="s">
        <v>452</v>
      </c>
      <c r="N43" s="39" t="s">
        <v>453</v>
      </c>
      <c r="O43" s="15" t="str">
        <f t="shared" si="4"/>
        <v>Valid</v>
      </c>
      <c r="P43" s="46" t="s">
        <v>454</v>
      </c>
      <c r="Q43" s="47" t="s">
        <v>455</v>
      </c>
      <c r="R43" s="41" t="s">
        <v>456</v>
      </c>
      <c r="S43" s="49">
        <v>34798</v>
      </c>
      <c r="T43" s="49" t="s">
        <v>457</v>
      </c>
      <c r="U43" s="48" t="s">
        <v>457</v>
      </c>
      <c r="V43" s="48" t="s">
        <v>458</v>
      </c>
      <c r="W43" s="48" t="s">
        <v>459</v>
      </c>
      <c r="X43" s="18">
        <v>45768</v>
      </c>
      <c r="Y43" s="13" t="s">
        <v>349</v>
      </c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</row>
    <row r="44" spans="1:44" ht="26.25" customHeight="1" x14ac:dyDescent="0.25">
      <c r="A44" s="38">
        <v>3</v>
      </c>
      <c r="B44" s="38" t="s">
        <v>460</v>
      </c>
      <c r="C44" s="39" t="s">
        <v>461</v>
      </c>
      <c r="D44" s="39" t="s">
        <v>79</v>
      </c>
      <c r="E44" s="39" t="s">
        <v>462</v>
      </c>
      <c r="F44" s="39" t="s">
        <v>76</v>
      </c>
      <c r="G44" s="39" t="s">
        <v>463</v>
      </c>
      <c r="H44" s="51" t="s">
        <v>464</v>
      </c>
      <c r="I44" s="38" t="s">
        <v>34</v>
      </c>
      <c r="J44" s="40">
        <v>45294</v>
      </c>
      <c r="K44" s="40" t="s">
        <v>79</v>
      </c>
      <c r="L44" s="39" t="s">
        <v>465</v>
      </c>
      <c r="M44" s="39" t="s">
        <v>81</v>
      </c>
      <c r="N44" s="39" t="s">
        <v>466</v>
      </c>
      <c r="O44" s="15" t="str">
        <f t="shared" si="4"/>
        <v>Valid</v>
      </c>
      <c r="P44" s="38"/>
      <c r="Q44" s="38"/>
      <c r="R44" s="41"/>
      <c r="S44" s="38"/>
      <c r="T44" s="38"/>
      <c r="U44" s="38"/>
      <c r="V44" s="38"/>
      <c r="W44" s="39"/>
      <c r="X44" s="18">
        <v>45771</v>
      </c>
      <c r="Y44" s="13" t="s">
        <v>44</v>
      </c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</row>
    <row r="45" spans="1:44" ht="26.25" customHeight="1" thickBot="1" x14ac:dyDescent="0.3">
      <c r="A45" s="38">
        <v>4</v>
      </c>
      <c r="B45" s="38">
        <v>196</v>
      </c>
      <c r="C45" s="39" t="s">
        <v>467</v>
      </c>
      <c r="D45" s="39" t="s">
        <v>468</v>
      </c>
      <c r="E45" s="39">
        <v>0</v>
      </c>
      <c r="F45" s="39" t="s">
        <v>469</v>
      </c>
      <c r="G45" s="39" t="s">
        <v>470</v>
      </c>
      <c r="H45" s="38" t="s">
        <v>471</v>
      </c>
      <c r="I45" s="38" t="s">
        <v>34</v>
      </c>
      <c r="J45" s="40">
        <v>45089</v>
      </c>
      <c r="K45" s="40" t="s">
        <v>79</v>
      </c>
      <c r="L45" s="39" t="s">
        <v>472</v>
      </c>
      <c r="M45" s="39" t="s">
        <v>81</v>
      </c>
      <c r="N45" s="39" t="s">
        <v>473</v>
      </c>
      <c r="O45" s="15" t="str">
        <f t="shared" si="4"/>
        <v>Valid</v>
      </c>
      <c r="P45" s="39" t="s">
        <v>474</v>
      </c>
      <c r="Q45" s="39" t="s">
        <v>475</v>
      </c>
      <c r="R45" s="41" t="s">
        <v>476</v>
      </c>
      <c r="S45" s="55">
        <v>31703</v>
      </c>
      <c r="T45" s="39" t="s">
        <v>477</v>
      </c>
      <c r="U45" s="39"/>
      <c r="V45" s="39" t="s">
        <v>478</v>
      </c>
      <c r="W45" s="39"/>
      <c r="X45" s="18">
        <v>45771</v>
      </c>
      <c r="Y45" s="13" t="s">
        <v>44</v>
      </c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</row>
    <row r="46" spans="1:44" ht="15.75" customHeight="1" thickBot="1" x14ac:dyDescent="0.6">
      <c r="A46" s="8">
        <v>45778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0"/>
    </row>
    <row r="47" spans="1:44" ht="26.25" customHeight="1" x14ac:dyDescent="0.25">
      <c r="A47" s="38">
        <v>1</v>
      </c>
      <c r="B47" s="38" t="s">
        <v>479</v>
      </c>
      <c r="C47" s="39" t="s">
        <v>480</v>
      </c>
      <c r="D47" s="45" t="s">
        <v>481</v>
      </c>
      <c r="E47" s="39" t="s">
        <v>482</v>
      </c>
      <c r="F47" s="39" t="s">
        <v>76</v>
      </c>
      <c r="G47" s="39" t="s">
        <v>483</v>
      </c>
      <c r="H47" s="57" t="s">
        <v>484</v>
      </c>
      <c r="I47" s="38" t="s">
        <v>34</v>
      </c>
      <c r="J47" s="40">
        <v>45112</v>
      </c>
      <c r="K47" s="40" t="s">
        <v>79</v>
      </c>
      <c r="L47" s="39" t="s">
        <v>485</v>
      </c>
      <c r="M47" s="39" t="s">
        <v>81</v>
      </c>
      <c r="N47" s="39" t="s">
        <v>486</v>
      </c>
      <c r="O47" s="15" t="str">
        <f t="shared" ref="O47:O73" si="5">IF(LEN(N47)=24, "Valid", "Invalid - Must be 24 digits")</f>
        <v>Valid</v>
      </c>
      <c r="P47" s="45">
        <v>3125296657</v>
      </c>
      <c r="Q47" s="45"/>
      <c r="R47" s="58">
        <v>3152320088</v>
      </c>
      <c r="S47" s="49">
        <v>38809</v>
      </c>
      <c r="T47" s="45" t="s">
        <v>487</v>
      </c>
      <c r="U47" s="45"/>
      <c r="V47" s="45" t="s">
        <v>488</v>
      </c>
      <c r="W47" s="45"/>
      <c r="X47" s="18">
        <v>45778</v>
      </c>
      <c r="Y47" s="13" t="s">
        <v>44</v>
      </c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</row>
    <row r="48" spans="1:44" ht="26.25" customHeight="1" x14ac:dyDescent="0.25">
      <c r="A48" s="38">
        <v>2</v>
      </c>
      <c r="B48" s="38" t="s">
        <v>489</v>
      </c>
      <c r="C48" s="39" t="s">
        <v>490</v>
      </c>
      <c r="D48" s="39" t="s">
        <v>491</v>
      </c>
      <c r="E48" s="39" t="s">
        <v>482</v>
      </c>
      <c r="F48" s="39" t="s">
        <v>76</v>
      </c>
      <c r="G48" s="39" t="s">
        <v>483</v>
      </c>
      <c r="H48" s="38" t="s">
        <v>492</v>
      </c>
      <c r="I48" s="38" t="s">
        <v>34</v>
      </c>
      <c r="J48" s="40">
        <v>45111</v>
      </c>
      <c r="K48" s="40" t="s">
        <v>79</v>
      </c>
      <c r="L48" s="39" t="s">
        <v>493</v>
      </c>
      <c r="M48" s="39" t="s">
        <v>81</v>
      </c>
      <c r="N48" s="39" t="s">
        <v>494</v>
      </c>
      <c r="O48" s="15" t="str">
        <f t="shared" si="5"/>
        <v>Valid</v>
      </c>
      <c r="P48" s="53" t="s">
        <v>495</v>
      </c>
      <c r="Q48" s="39" t="s">
        <v>496</v>
      </c>
      <c r="R48" s="54" t="s">
        <v>497</v>
      </c>
      <c r="S48" s="55">
        <v>35411</v>
      </c>
      <c r="T48" s="39" t="s">
        <v>498</v>
      </c>
      <c r="U48" s="39"/>
      <c r="V48" s="39" t="s">
        <v>42</v>
      </c>
      <c r="W48" s="39"/>
      <c r="X48" s="18">
        <v>45778</v>
      </c>
      <c r="Y48" s="13" t="s">
        <v>44</v>
      </c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</row>
    <row r="49" spans="1:45" ht="26.25" customHeight="1" x14ac:dyDescent="0.25">
      <c r="A49" s="38">
        <v>3</v>
      </c>
      <c r="B49" s="38" t="s">
        <v>499</v>
      </c>
      <c r="C49" s="39" t="s">
        <v>500</v>
      </c>
      <c r="D49" s="39" t="s">
        <v>501</v>
      </c>
      <c r="E49" s="39" t="s">
        <v>30</v>
      </c>
      <c r="F49" s="39" t="s">
        <v>31</v>
      </c>
      <c r="G49" s="39" t="s">
        <v>502</v>
      </c>
      <c r="H49" s="38" t="s">
        <v>300</v>
      </c>
      <c r="I49" s="44" t="s">
        <v>62</v>
      </c>
      <c r="J49" s="40">
        <v>45768</v>
      </c>
      <c r="K49" s="40">
        <v>45859</v>
      </c>
      <c r="L49" s="40" t="s">
        <v>503</v>
      </c>
      <c r="M49" s="45" t="s">
        <v>342</v>
      </c>
      <c r="N49" s="39" t="s">
        <v>504</v>
      </c>
      <c r="O49" s="15" t="str">
        <f t="shared" si="5"/>
        <v>Valid</v>
      </c>
      <c r="P49" s="45">
        <v>3335552975</v>
      </c>
      <c r="Q49" s="47" t="s">
        <v>505</v>
      </c>
      <c r="R49" s="41">
        <v>3335190050</v>
      </c>
      <c r="S49" s="49">
        <v>35478</v>
      </c>
      <c r="T49" s="49" t="s">
        <v>506</v>
      </c>
      <c r="U49" s="48" t="s">
        <v>506</v>
      </c>
      <c r="V49" s="48" t="s">
        <v>507</v>
      </c>
      <c r="W49" s="48" t="s">
        <v>203</v>
      </c>
      <c r="X49" s="18">
        <v>45790</v>
      </c>
      <c r="Y49" s="13" t="s">
        <v>349</v>
      </c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</row>
    <row r="50" spans="1:45" ht="26.25" customHeight="1" x14ac:dyDescent="0.25">
      <c r="A50" s="38">
        <v>4</v>
      </c>
      <c r="B50" s="38" t="s">
        <v>508</v>
      </c>
      <c r="C50" s="39" t="s">
        <v>509</v>
      </c>
      <c r="D50" s="39" t="s">
        <v>510</v>
      </c>
      <c r="E50" s="39" t="s">
        <v>449</v>
      </c>
      <c r="F50" s="39" t="s">
        <v>511</v>
      </c>
      <c r="G50" s="39" t="s">
        <v>376</v>
      </c>
      <c r="H50" s="38" t="s">
        <v>288</v>
      </c>
      <c r="I50" s="44" t="s">
        <v>62</v>
      </c>
      <c r="J50" s="40">
        <v>45750</v>
      </c>
      <c r="K50" s="40">
        <v>45841</v>
      </c>
      <c r="L50" s="40" t="s">
        <v>512</v>
      </c>
      <c r="M50" s="39" t="s">
        <v>243</v>
      </c>
      <c r="N50" s="39" t="s">
        <v>513</v>
      </c>
      <c r="O50" s="15" t="str">
        <f t="shared" si="5"/>
        <v>Valid</v>
      </c>
      <c r="P50" s="46" t="s">
        <v>514</v>
      </c>
      <c r="Q50" s="47" t="s">
        <v>515</v>
      </c>
      <c r="R50" s="41" t="s">
        <v>516</v>
      </c>
      <c r="S50" s="49">
        <v>33617</v>
      </c>
      <c r="T50" s="49" t="s">
        <v>517</v>
      </c>
      <c r="U50" s="48" t="s">
        <v>517</v>
      </c>
      <c r="V50" s="48" t="s">
        <v>518</v>
      </c>
      <c r="W50" s="48" t="s">
        <v>203</v>
      </c>
      <c r="X50" s="18">
        <v>45777</v>
      </c>
      <c r="Y50" s="13" t="s">
        <v>519</v>
      </c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</row>
    <row r="51" spans="1:45" ht="26.25" customHeight="1" x14ac:dyDescent="0.25">
      <c r="A51" s="38">
        <v>5</v>
      </c>
      <c r="B51" s="38" t="s">
        <v>520</v>
      </c>
      <c r="C51" s="39" t="s">
        <v>521</v>
      </c>
      <c r="D51" s="39" t="s">
        <v>522</v>
      </c>
      <c r="E51" s="39" t="s">
        <v>325</v>
      </c>
      <c r="F51" s="39" t="s">
        <v>326</v>
      </c>
      <c r="G51" s="39" t="s">
        <v>48</v>
      </c>
      <c r="H51" s="38" t="s">
        <v>523</v>
      </c>
      <c r="I51" s="44" t="s">
        <v>62</v>
      </c>
      <c r="J51" s="40">
        <v>45689</v>
      </c>
      <c r="K51" s="40">
        <v>45778</v>
      </c>
      <c r="L51" s="45" t="s">
        <v>524</v>
      </c>
      <c r="M51" s="39" t="s">
        <v>379</v>
      </c>
      <c r="N51" s="46" t="s">
        <v>525</v>
      </c>
      <c r="O51" s="15" t="str">
        <f t="shared" si="5"/>
        <v>Valid</v>
      </c>
      <c r="P51" s="47" t="s">
        <v>526</v>
      </c>
      <c r="Q51" s="48" t="s">
        <v>527</v>
      </c>
      <c r="R51" s="41" t="s">
        <v>528</v>
      </c>
      <c r="S51" s="49">
        <v>30437</v>
      </c>
      <c r="T51" s="48" t="s">
        <v>529</v>
      </c>
      <c r="U51" s="48" t="s">
        <v>530</v>
      </c>
      <c r="V51" s="48" t="s">
        <v>86</v>
      </c>
      <c r="W51" s="39" t="s">
        <v>79</v>
      </c>
      <c r="X51" s="18">
        <v>45777</v>
      </c>
      <c r="Y51" s="13" t="s">
        <v>44</v>
      </c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</row>
    <row r="52" spans="1:45" ht="26.25" customHeight="1" x14ac:dyDescent="0.25">
      <c r="A52" s="38">
        <v>6</v>
      </c>
      <c r="B52" s="38" t="s">
        <v>531</v>
      </c>
      <c r="C52" s="60" t="s">
        <v>532</v>
      </c>
      <c r="D52" s="48" t="s">
        <v>533</v>
      </c>
      <c r="E52" s="39" t="s">
        <v>30</v>
      </c>
      <c r="F52" s="39" t="s">
        <v>31</v>
      </c>
      <c r="G52" s="39" t="s">
        <v>60</v>
      </c>
      <c r="H52" s="38" t="s">
        <v>534</v>
      </c>
      <c r="I52" s="38" t="s">
        <v>34</v>
      </c>
      <c r="J52" s="40">
        <v>45299</v>
      </c>
      <c r="K52" s="40" t="s">
        <v>79</v>
      </c>
      <c r="L52" s="39" t="s">
        <v>535</v>
      </c>
      <c r="M52" s="39" t="s">
        <v>81</v>
      </c>
      <c r="N52" s="39" t="s">
        <v>536</v>
      </c>
      <c r="O52" s="15" t="str">
        <f t="shared" si="5"/>
        <v>Valid</v>
      </c>
      <c r="P52" s="39" t="s">
        <v>537</v>
      </c>
      <c r="Q52" s="48" t="s">
        <v>538</v>
      </c>
      <c r="R52" s="41" t="s">
        <v>539</v>
      </c>
      <c r="S52" s="49">
        <v>33797</v>
      </c>
      <c r="T52" s="48" t="s">
        <v>540</v>
      </c>
      <c r="U52" s="48" t="s">
        <v>541</v>
      </c>
      <c r="V52" s="48" t="s">
        <v>417</v>
      </c>
      <c r="W52" s="39" t="s">
        <v>43</v>
      </c>
      <c r="X52" s="18">
        <v>45796</v>
      </c>
      <c r="Y52" s="13" t="s">
        <v>349</v>
      </c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</row>
    <row r="53" spans="1:45" ht="26.25" customHeight="1" x14ac:dyDescent="0.25">
      <c r="A53" s="38">
        <v>7</v>
      </c>
      <c r="B53" s="38" t="s">
        <v>542</v>
      </c>
      <c r="C53" s="39" t="s">
        <v>543</v>
      </c>
      <c r="D53" s="39" t="s">
        <v>544</v>
      </c>
      <c r="E53" s="39" t="s">
        <v>30</v>
      </c>
      <c r="F53" s="39" t="s">
        <v>31</v>
      </c>
      <c r="G53" s="39" t="s">
        <v>545</v>
      </c>
      <c r="H53" s="38" t="s">
        <v>546</v>
      </c>
      <c r="I53" s="44" t="s">
        <v>62</v>
      </c>
      <c r="J53" s="40">
        <v>45789</v>
      </c>
      <c r="K53" s="40">
        <v>45881</v>
      </c>
      <c r="L53" s="40" t="s">
        <v>547</v>
      </c>
      <c r="M53" s="39" t="s">
        <v>548</v>
      </c>
      <c r="N53" s="39" t="s">
        <v>549</v>
      </c>
      <c r="O53" s="15" t="str">
        <f t="shared" si="5"/>
        <v>Valid</v>
      </c>
      <c r="P53" s="45">
        <v>3163961080</v>
      </c>
      <c r="Q53" s="47" t="s">
        <v>550</v>
      </c>
      <c r="R53" s="41">
        <v>3499319732</v>
      </c>
      <c r="S53" s="49">
        <v>36962</v>
      </c>
      <c r="T53" s="49" t="s">
        <v>551</v>
      </c>
      <c r="U53" s="48" t="s">
        <v>552</v>
      </c>
      <c r="V53" s="48" t="s">
        <v>553</v>
      </c>
      <c r="W53" s="48" t="s">
        <v>43</v>
      </c>
      <c r="X53" s="18">
        <v>45799</v>
      </c>
      <c r="Y53" s="13" t="s">
        <v>44</v>
      </c>
      <c r="Z53" s="61" t="s">
        <v>554</v>
      </c>
      <c r="AA53" s="61" t="s">
        <v>555</v>
      </c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</row>
    <row r="54" spans="1:45" ht="26.25" customHeight="1" x14ac:dyDescent="0.25">
      <c r="A54" s="38">
        <v>8</v>
      </c>
      <c r="B54" s="38" t="s">
        <v>556</v>
      </c>
      <c r="C54" s="39" t="s">
        <v>557</v>
      </c>
      <c r="D54" s="39" t="s">
        <v>558</v>
      </c>
      <c r="E54" s="39" t="s">
        <v>30</v>
      </c>
      <c r="F54" s="39" t="s">
        <v>31</v>
      </c>
      <c r="G54" s="39" t="s">
        <v>307</v>
      </c>
      <c r="H54" s="38" t="s">
        <v>559</v>
      </c>
      <c r="I54" s="44" t="s">
        <v>62</v>
      </c>
      <c r="J54" s="40">
        <v>45726</v>
      </c>
      <c r="K54" s="40">
        <v>45818</v>
      </c>
      <c r="L54" s="40" t="s">
        <v>560</v>
      </c>
      <c r="M54" s="39" t="s">
        <v>367</v>
      </c>
      <c r="N54" s="39" t="s">
        <v>561</v>
      </c>
      <c r="O54" s="15" t="str">
        <f t="shared" si="5"/>
        <v>Valid</v>
      </c>
      <c r="P54" s="46" t="s">
        <v>562</v>
      </c>
      <c r="Q54" s="47" t="s">
        <v>563</v>
      </c>
      <c r="R54" s="41" t="s">
        <v>564</v>
      </c>
      <c r="S54" s="49">
        <v>32258</v>
      </c>
      <c r="T54" s="49" t="s">
        <v>565</v>
      </c>
      <c r="U54" s="48" t="s">
        <v>566</v>
      </c>
      <c r="V54" s="48" t="s">
        <v>567</v>
      </c>
      <c r="W54" s="48" t="s">
        <v>79</v>
      </c>
      <c r="X54" s="18">
        <v>45801</v>
      </c>
      <c r="Y54" s="13" t="s">
        <v>44</v>
      </c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</row>
    <row r="55" spans="1:45" ht="26.25" customHeight="1" x14ac:dyDescent="0.25">
      <c r="A55" s="38">
        <v>9</v>
      </c>
      <c r="B55" s="38" t="s">
        <v>568</v>
      </c>
      <c r="C55" s="39" t="s">
        <v>569</v>
      </c>
      <c r="D55" s="39" t="s">
        <v>570</v>
      </c>
      <c r="E55" s="39" t="s">
        <v>30</v>
      </c>
      <c r="F55" s="39" t="s">
        <v>31</v>
      </c>
      <c r="G55" s="39" t="s">
        <v>502</v>
      </c>
      <c r="H55" s="38" t="s">
        <v>571</v>
      </c>
      <c r="I55" s="44" t="s">
        <v>62</v>
      </c>
      <c r="J55" s="40">
        <v>45754</v>
      </c>
      <c r="K55" s="40">
        <v>45845</v>
      </c>
      <c r="L55" s="40" t="s">
        <v>572</v>
      </c>
      <c r="M55" s="39" t="s">
        <v>379</v>
      </c>
      <c r="N55" s="39" t="s">
        <v>573</v>
      </c>
      <c r="O55" s="15" t="str">
        <f t="shared" si="5"/>
        <v>Valid</v>
      </c>
      <c r="P55" s="45">
        <v>3328773458</v>
      </c>
      <c r="Q55" s="47" t="s">
        <v>574</v>
      </c>
      <c r="R55" s="41">
        <v>3328773458</v>
      </c>
      <c r="S55" s="49">
        <v>35711</v>
      </c>
      <c r="T55" s="49" t="s">
        <v>575</v>
      </c>
      <c r="U55" s="48" t="s">
        <v>575</v>
      </c>
      <c r="V55" s="48" t="s">
        <v>576</v>
      </c>
      <c r="W55" s="48" t="s">
        <v>114</v>
      </c>
      <c r="X55" s="18">
        <v>45801</v>
      </c>
      <c r="Y55" s="13" t="s">
        <v>44</v>
      </c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</row>
    <row r="56" spans="1:45" ht="26.25" customHeight="1" x14ac:dyDescent="0.25">
      <c r="A56" s="38">
        <v>10</v>
      </c>
      <c r="B56" s="38" t="s">
        <v>577</v>
      </c>
      <c r="C56" s="39" t="s">
        <v>578</v>
      </c>
      <c r="D56" s="62" t="s">
        <v>579</v>
      </c>
      <c r="E56" s="39" t="s">
        <v>171</v>
      </c>
      <c r="F56" s="39" t="s">
        <v>172</v>
      </c>
      <c r="G56" s="39" t="s">
        <v>173</v>
      </c>
      <c r="H56" s="63" t="s">
        <v>159</v>
      </c>
      <c r="I56" s="38" t="s">
        <v>34</v>
      </c>
      <c r="J56" s="40">
        <v>45383</v>
      </c>
      <c r="K56" s="40" t="s">
        <v>79</v>
      </c>
      <c r="L56" s="39" t="s">
        <v>580</v>
      </c>
      <c r="M56" s="39" t="s">
        <v>81</v>
      </c>
      <c r="N56" s="39" t="s">
        <v>581</v>
      </c>
      <c r="O56" s="15" t="str">
        <f t="shared" si="5"/>
        <v>Valid</v>
      </c>
      <c r="P56" s="64" t="s">
        <v>582</v>
      </c>
      <c r="Q56" s="62" t="s">
        <v>583</v>
      </c>
      <c r="R56" s="65">
        <v>923075444843</v>
      </c>
      <c r="S56" s="42">
        <v>34773</v>
      </c>
      <c r="T56" s="62" t="s">
        <v>584</v>
      </c>
      <c r="U56" s="62"/>
      <c r="V56" s="62" t="s">
        <v>86</v>
      </c>
      <c r="W56" s="39"/>
      <c r="X56" s="18">
        <v>45800</v>
      </c>
      <c r="Y56" s="13" t="s">
        <v>349</v>
      </c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</row>
    <row r="57" spans="1:45" ht="26.25" customHeight="1" x14ac:dyDescent="0.25">
      <c r="A57" s="38">
        <v>11</v>
      </c>
      <c r="B57" s="38" t="s">
        <v>585</v>
      </c>
      <c r="C57" s="39" t="s">
        <v>586</v>
      </c>
      <c r="D57" s="39" t="s">
        <v>587</v>
      </c>
      <c r="E57" s="39" t="s">
        <v>30</v>
      </c>
      <c r="F57" s="39" t="s">
        <v>31</v>
      </c>
      <c r="G57" s="39" t="s">
        <v>307</v>
      </c>
      <c r="H57" s="38" t="s">
        <v>588</v>
      </c>
      <c r="I57" s="44" t="s">
        <v>62</v>
      </c>
      <c r="J57" s="40">
        <v>45726</v>
      </c>
      <c r="K57" s="40">
        <v>45818</v>
      </c>
      <c r="L57" s="40" t="s">
        <v>589</v>
      </c>
      <c r="M57" s="39" t="s">
        <v>367</v>
      </c>
      <c r="N57" s="39" t="s">
        <v>590</v>
      </c>
      <c r="O57" s="15" t="str">
        <f t="shared" si="5"/>
        <v>Valid</v>
      </c>
      <c r="P57" s="46" t="s">
        <v>591</v>
      </c>
      <c r="Q57" s="47" t="s">
        <v>592</v>
      </c>
      <c r="R57" s="41" t="s">
        <v>593</v>
      </c>
      <c r="S57" s="49">
        <v>33847</v>
      </c>
      <c r="T57" s="49" t="s">
        <v>594</v>
      </c>
      <c r="U57" s="48" t="s">
        <v>594</v>
      </c>
      <c r="V57" s="48" t="s">
        <v>595</v>
      </c>
      <c r="W57" s="48" t="s">
        <v>596</v>
      </c>
      <c r="X57" s="18">
        <v>45803</v>
      </c>
      <c r="Y57" s="13" t="s">
        <v>44</v>
      </c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</row>
    <row r="58" spans="1:45" ht="26.25" customHeight="1" x14ac:dyDescent="0.25">
      <c r="A58" s="38">
        <v>12</v>
      </c>
      <c r="B58" s="38" t="s">
        <v>597</v>
      </c>
      <c r="C58" s="39" t="s">
        <v>598</v>
      </c>
      <c r="D58" s="39" t="s">
        <v>599</v>
      </c>
      <c r="E58" s="39" t="s">
        <v>30</v>
      </c>
      <c r="F58" s="39" t="s">
        <v>31</v>
      </c>
      <c r="G58" s="39" t="s">
        <v>545</v>
      </c>
      <c r="H58" s="38" t="s">
        <v>600</v>
      </c>
      <c r="I58" s="44" t="s">
        <v>62</v>
      </c>
      <c r="J58" s="40">
        <v>45768</v>
      </c>
      <c r="K58" s="40">
        <v>45859</v>
      </c>
      <c r="L58" s="40" t="s">
        <v>601</v>
      </c>
      <c r="M58" s="45" t="s">
        <v>342</v>
      </c>
      <c r="N58" s="39" t="s">
        <v>602</v>
      </c>
      <c r="O58" s="15" t="str">
        <f t="shared" si="5"/>
        <v>Valid</v>
      </c>
      <c r="P58" s="45">
        <v>3475376642</v>
      </c>
      <c r="Q58" s="47" t="s">
        <v>603</v>
      </c>
      <c r="R58" s="41">
        <v>3009555420</v>
      </c>
      <c r="S58" s="49">
        <v>35974</v>
      </c>
      <c r="T58" s="49" t="s">
        <v>604</v>
      </c>
      <c r="U58" s="48" t="s">
        <v>604</v>
      </c>
      <c r="V58" s="48" t="s">
        <v>605</v>
      </c>
      <c r="W58" s="48" t="s">
        <v>606</v>
      </c>
      <c r="X58" s="18">
        <v>45803</v>
      </c>
      <c r="Y58" s="13" t="s">
        <v>44</v>
      </c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</row>
    <row r="59" spans="1:45" ht="26.25" customHeight="1" x14ac:dyDescent="0.25">
      <c r="A59" s="38">
        <v>13</v>
      </c>
      <c r="B59" s="38" t="s">
        <v>607</v>
      </c>
      <c r="C59" s="39" t="s">
        <v>608</v>
      </c>
      <c r="D59" s="39" t="s">
        <v>609</v>
      </c>
      <c r="E59" s="39" t="s">
        <v>30</v>
      </c>
      <c r="F59" s="39" t="s">
        <v>31</v>
      </c>
      <c r="G59" s="39" t="s">
        <v>502</v>
      </c>
      <c r="H59" s="38" t="s">
        <v>610</v>
      </c>
      <c r="I59" s="44" t="s">
        <v>62</v>
      </c>
      <c r="J59" s="40">
        <v>45768</v>
      </c>
      <c r="K59" s="40">
        <v>45859</v>
      </c>
      <c r="L59" s="40" t="s">
        <v>611</v>
      </c>
      <c r="M59" s="39" t="s">
        <v>548</v>
      </c>
      <c r="N59" s="39" t="s">
        <v>612</v>
      </c>
      <c r="O59" s="15" t="str">
        <f t="shared" si="5"/>
        <v>Valid</v>
      </c>
      <c r="P59" s="45" t="s">
        <v>613</v>
      </c>
      <c r="Q59" s="47" t="s">
        <v>614</v>
      </c>
      <c r="R59" s="41">
        <v>33218558556</v>
      </c>
      <c r="S59" s="49">
        <v>36711</v>
      </c>
      <c r="T59" s="49" t="s">
        <v>615</v>
      </c>
      <c r="U59" s="48" t="s">
        <v>615</v>
      </c>
      <c r="V59" s="48" t="s">
        <v>616</v>
      </c>
      <c r="W59" s="48" t="s">
        <v>56</v>
      </c>
      <c r="X59" s="18">
        <v>45803</v>
      </c>
      <c r="Y59" s="13" t="s">
        <v>44</v>
      </c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</row>
    <row r="60" spans="1:45" ht="26.25" customHeight="1" x14ac:dyDescent="0.25">
      <c r="A60" s="38">
        <v>14</v>
      </c>
      <c r="B60" s="38" t="s">
        <v>617</v>
      </c>
      <c r="C60" s="39" t="s">
        <v>618</v>
      </c>
      <c r="D60" s="39" t="s">
        <v>196</v>
      </c>
      <c r="E60" s="39" t="s">
        <v>30</v>
      </c>
      <c r="F60" s="39" t="s">
        <v>31</v>
      </c>
      <c r="G60" s="39" t="s">
        <v>619</v>
      </c>
      <c r="H60" s="38" t="s">
        <v>610</v>
      </c>
      <c r="I60" s="44" t="s">
        <v>62</v>
      </c>
      <c r="J60" s="40">
        <v>45782</v>
      </c>
      <c r="K60" s="40">
        <v>45874</v>
      </c>
      <c r="L60" s="39" t="s">
        <v>620</v>
      </c>
      <c r="M60" s="45" t="s">
        <v>342</v>
      </c>
      <c r="N60" s="39" t="s">
        <v>621</v>
      </c>
      <c r="O60" s="15" t="str">
        <f t="shared" si="5"/>
        <v>Valid</v>
      </c>
      <c r="P60" s="45">
        <f>923087819463</f>
        <v>923087819463</v>
      </c>
      <c r="Q60" s="47" t="s">
        <v>622</v>
      </c>
      <c r="R60" s="41">
        <f>923030848202</f>
        <v>923030848202</v>
      </c>
      <c r="S60" s="49">
        <v>35395</v>
      </c>
      <c r="T60" s="49" t="s">
        <v>623</v>
      </c>
      <c r="U60" s="48" t="s">
        <v>623</v>
      </c>
      <c r="V60" s="48" t="s">
        <v>624</v>
      </c>
      <c r="W60" s="48" t="s">
        <v>203</v>
      </c>
      <c r="X60" s="18">
        <v>45803</v>
      </c>
      <c r="Y60" s="13" t="s">
        <v>44</v>
      </c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</row>
    <row r="61" spans="1:45" ht="26.25" customHeight="1" x14ac:dyDescent="0.25">
      <c r="A61" s="38">
        <v>15</v>
      </c>
      <c r="B61" s="38" t="s">
        <v>625</v>
      </c>
      <c r="C61" s="39" t="s">
        <v>626</v>
      </c>
      <c r="D61" s="39" t="s">
        <v>627</v>
      </c>
      <c r="E61" s="39" t="s">
        <v>30</v>
      </c>
      <c r="F61" s="39" t="s">
        <v>31</v>
      </c>
      <c r="G61" s="39" t="s">
        <v>619</v>
      </c>
      <c r="H61" s="38" t="s">
        <v>610</v>
      </c>
      <c r="I61" s="44" t="s">
        <v>62</v>
      </c>
      <c r="J61" s="40">
        <v>45782</v>
      </c>
      <c r="K61" s="40">
        <v>45874</v>
      </c>
      <c r="L61" s="40" t="s">
        <v>628</v>
      </c>
      <c r="M61" s="39" t="s">
        <v>548</v>
      </c>
      <c r="N61" s="39" t="s">
        <v>629</v>
      </c>
      <c r="O61" s="15" t="str">
        <f t="shared" si="5"/>
        <v>Valid</v>
      </c>
      <c r="P61" s="45" t="s">
        <v>630</v>
      </c>
      <c r="Q61" s="47" t="s">
        <v>631</v>
      </c>
      <c r="R61" s="41" t="s">
        <v>632</v>
      </c>
      <c r="S61" s="49">
        <v>37200</v>
      </c>
      <c r="T61" s="49" t="s">
        <v>633</v>
      </c>
      <c r="U61" s="48" t="s">
        <v>633</v>
      </c>
      <c r="V61" s="48" t="s">
        <v>634</v>
      </c>
      <c r="W61" s="48" t="s">
        <v>203</v>
      </c>
      <c r="X61" s="18">
        <v>45803</v>
      </c>
      <c r="Y61" s="13" t="s">
        <v>44</v>
      </c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</row>
    <row r="62" spans="1:45" ht="26.25" customHeight="1" x14ac:dyDescent="0.25">
      <c r="A62" s="38">
        <v>16</v>
      </c>
      <c r="B62" s="38" t="s">
        <v>635</v>
      </c>
      <c r="C62" s="39" t="s">
        <v>636</v>
      </c>
      <c r="D62" s="39" t="s">
        <v>637</v>
      </c>
      <c r="E62" s="39" t="s">
        <v>30</v>
      </c>
      <c r="F62" s="39" t="s">
        <v>31</v>
      </c>
      <c r="G62" s="39" t="s">
        <v>619</v>
      </c>
      <c r="H62" s="38" t="s">
        <v>638</v>
      </c>
      <c r="I62" s="44" t="s">
        <v>62</v>
      </c>
      <c r="J62" s="40">
        <v>45782</v>
      </c>
      <c r="K62" s="40">
        <v>45874</v>
      </c>
      <c r="L62" s="40" t="s">
        <v>639</v>
      </c>
      <c r="M62" s="39" t="s">
        <v>640</v>
      </c>
      <c r="N62" s="39" t="s">
        <v>641</v>
      </c>
      <c r="O62" s="15" t="str">
        <f t="shared" si="5"/>
        <v>Valid</v>
      </c>
      <c r="P62" s="45">
        <v>3361876312</v>
      </c>
      <c r="Q62" s="47" t="s">
        <v>642</v>
      </c>
      <c r="R62" s="41">
        <v>3158622362</v>
      </c>
      <c r="S62" s="49">
        <v>33641</v>
      </c>
      <c r="T62" s="49" t="s">
        <v>643</v>
      </c>
      <c r="U62" s="48" t="s">
        <v>643</v>
      </c>
      <c r="V62" s="48" t="s">
        <v>644</v>
      </c>
      <c r="W62" s="48" t="s">
        <v>203</v>
      </c>
      <c r="X62" s="18">
        <v>45803</v>
      </c>
      <c r="Y62" s="13" t="s">
        <v>44</v>
      </c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</row>
    <row r="63" spans="1:45" ht="26.25" customHeight="1" x14ac:dyDescent="0.25">
      <c r="A63" s="38">
        <v>17</v>
      </c>
      <c r="B63" s="38" t="s">
        <v>645</v>
      </c>
      <c r="C63" s="39" t="s">
        <v>646</v>
      </c>
      <c r="D63" s="39" t="s">
        <v>647</v>
      </c>
      <c r="E63" s="39" t="s">
        <v>30</v>
      </c>
      <c r="F63" s="39" t="s">
        <v>31</v>
      </c>
      <c r="G63" s="39" t="s">
        <v>619</v>
      </c>
      <c r="H63" s="38" t="s">
        <v>610</v>
      </c>
      <c r="I63" s="44" t="s">
        <v>62</v>
      </c>
      <c r="J63" s="40">
        <v>45789</v>
      </c>
      <c r="K63" s="40">
        <v>45881</v>
      </c>
      <c r="L63" s="40" t="s">
        <v>648</v>
      </c>
      <c r="M63" s="39" t="s">
        <v>649</v>
      </c>
      <c r="N63" s="39" t="s">
        <v>650</v>
      </c>
      <c r="O63" s="15" t="str">
        <f t="shared" si="5"/>
        <v>Valid</v>
      </c>
      <c r="P63" s="45">
        <v>3459188004</v>
      </c>
      <c r="Q63" s="47" t="s">
        <v>651</v>
      </c>
      <c r="R63" s="41">
        <v>3359883300</v>
      </c>
      <c r="S63" s="49">
        <v>34967</v>
      </c>
      <c r="T63" s="49" t="s">
        <v>652</v>
      </c>
      <c r="U63" s="48" t="s">
        <v>653</v>
      </c>
      <c r="V63" s="48" t="s">
        <v>654</v>
      </c>
      <c r="W63" s="48" t="s">
        <v>655</v>
      </c>
      <c r="X63" s="18">
        <v>45803</v>
      </c>
      <c r="Y63" s="13" t="s">
        <v>44</v>
      </c>
      <c r="Z63" s="61" t="s">
        <v>656</v>
      </c>
      <c r="AA63" s="61" t="s">
        <v>657</v>
      </c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</row>
    <row r="64" spans="1:45" ht="26.25" customHeight="1" x14ac:dyDescent="0.25">
      <c r="A64" s="38">
        <v>18</v>
      </c>
      <c r="B64" s="38" t="s">
        <v>658</v>
      </c>
      <c r="C64" s="39" t="s">
        <v>659</v>
      </c>
      <c r="D64" s="39" t="s">
        <v>660</v>
      </c>
      <c r="E64" s="39" t="s">
        <v>30</v>
      </c>
      <c r="F64" s="39" t="s">
        <v>31</v>
      </c>
      <c r="G64" s="39" t="s">
        <v>619</v>
      </c>
      <c r="H64" s="38" t="s">
        <v>610</v>
      </c>
      <c r="I64" s="44" t="s">
        <v>62</v>
      </c>
      <c r="J64" s="40">
        <v>45796</v>
      </c>
      <c r="K64" s="40">
        <v>45888</v>
      </c>
      <c r="L64" s="40" t="s">
        <v>661</v>
      </c>
      <c r="M64" s="39" t="s">
        <v>356</v>
      </c>
      <c r="N64" s="39" t="s">
        <v>662</v>
      </c>
      <c r="O64" s="15" t="str">
        <f t="shared" si="5"/>
        <v>Valid</v>
      </c>
      <c r="P64" s="45">
        <v>3160597812</v>
      </c>
      <c r="Q64" s="47" t="s">
        <v>663</v>
      </c>
      <c r="R64" s="41">
        <v>3335155215</v>
      </c>
      <c r="S64" s="49">
        <v>37437</v>
      </c>
      <c r="T64" s="49" t="s">
        <v>664</v>
      </c>
      <c r="U64" s="48" t="s">
        <v>664</v>
      </c>
      <c r="V64" s="48" t="s">
        <v>665</v>
      </c>
      <c r="W64" s="48" t="s">
        <v>114</v>
      </c>
      <c r="X64" s="18">
        <v>45803</v>
      </c>
      <c r="Y64" s="13" t="s">
        <v>44</v>
      </c>
      <c r="Z64" s="61" t="s">
        <v>666</v>
      </c>
      <c r="AA64" s="61" t="s">
        <v>667</v>
      </c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</row>
    <row r="65" spans="1:45" ht="26.25" customHeight="1" x14ac:dyDescent="0.25">
      <c r="A65" s="38">
        <v>19</v>
      </c>
      <c r="B65" s="38" t="s">
        <v>668</v>
      </c>
      <c r="C65" s="39" t="s">
        <v>669</v>
      </c>
      <c r="D65" s="39" t="s">
        <v>670</v>
      </c>
      <c r="E65" s="39" t="s">
        <v>30</v>
      </c>
      <c r="F65" s="39" t="s">
        <v>31</v>
      </c>
      <c r="G65" s="39" t="s">
        <v>671</v>
      </c>
      <c r="H65" s="38" t="s">
        <v>672</v>
      </c>
      <c r="I65" s="38" t="s">
        <v>34</v>
      </c>
      <c r="J65" s="40">
        <v>45113</v>
      </c>
      <c r="K65" s="40" t="s">
        <v>79</v>
      </c>
      <c r="L65" s="39" t="s">
        <v>673</v>
      </c>
      <c r="M65" s="39" t="s">
        <v>81</v>
      </c>
      <c r="N65" s="39" t="s">
        <v>674</v>
      </c>
      <c r="O65" s="15" t="str">
        <f t="shared" si="5"/>
        <v>Valid</v>
      </c>
      <c r="P65" s="53" t="s">
        <v>675</v>
      </c>
      <c r="Q65" s="39" t="s">
        <v>676</v>
      </c>
      <c r="R65" s="54" t="s">
        <v>677</v>
      </c>
      <c r="S65" s="55">
        <v>33814</v>
      </c>
      <c r="T65" s="39" t="s">
        <v>678</v>
      </c>
      <c r="U65" s="39"/>
      <c r="V65" s="39" t="s">
        <v>396</v>
      </c>
      <c r="W65" s="39"/>
      <c r="X65" s="18">
        <v>45808</v>
      </c>
      <c r="Y65" s="13" t="s">
        <v>349</v>
      </c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</row>
    <row r="66" spans="1:45" ht="26.25" customHeight="1" x14ac:dyDescent="0.25">
      <c r="A66" s="38">
        <v>20</v>
      </c>
      <c r="B66" s="38" t="s">
        <v>679</v>
      </c>
      <c r="C66" s="39" t="s">
        <v>680</v>
      </c>
      <c r="D66" s="48" t="s">
        <v>681</v>
      </c>
      <c r="E66" s="39" t="s">
        <v>30</v>
      </c>
      <c r="F66" s="39" t="s">
        <v>31</v>
      </c>
      <c r="G66" s="39" t="s">
        <v>273</v>
      </c>
      <c r="H66" s="38" t="s">
        <v>682</v>
      </c>
      <c r="I66" s="38" t="s">
        <v>34</v>
      </c>
      <c r="J66" s="40">
        <v>45509</v>
      </c>
      <c r="K66" s="40" t="s">
        <v>79</v>
      </c>
      <c r="L66" s="39" t="s">
        <v>683</v>
      </c>
      <c r="M66" s="39" t="s">
        <v>51</v>
      </c>
      <c r="N66" s="39" t="s">
        <v>684</v>
      </c>
      <c r="O66" s="15" t="str">
        <f t="shared" si="5"/>
        <v>Valid</v>
      </c>
      <c r="P66" s="39" t="s">
        <v>279</v>
      </c>
      <c r="Q66" s="48" t="s">
        <v>685</v>
      </c>
      <c r="R66" s="41" t="s">
        <v>686</v>
      </c>
      <c r="S66" s="49">
        <v>35658</v>
      </c>
      <c r="T66" s="48" t="s">
        <v>687</v>
      </c>
      <c r="U66" s="48" t="s">
        <v>687</v>
      </c>
      <c r="V66" s="48" t="s">
        <v>688</v>
      </c>
      <c r="W66" s="39"/>
      <c r="X66" s="18">
        <v>45808</v>
      </c>
      <c r="Y66" s="13" t="s">
        <v>44</v>
      </c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</row>
    <row r="67" spans="1:45" ht="26.25" customHeight="1" x14ac:dyDescent="0.25">
      <c r="A67" s="38">
        <v>21</v>
      </c>
      <c r="B67" s="38" t="s">
        <v>689</v>
      </c>
      <c r="C67" s="39" t="s">
        <v>690</v>
      </c>
      <c r="D67" s="45" t="s">
        <v>691</v>
      </c>
      <c r="E67" s="39" t="s">
        <v>30</v>
      </c>
      <c r="F67" s="39" t="s">
        <v>31</v>
      </c>
      <c r="G67" s="39" t="s">
        <v>671</v>
      </c>
      <c r="H67" s="57" t="s">
        <v>692</v>
      </c>
      <c r="I67" s="38" t="s">
        <v>34</v>
      </c>
      <c r="J67" s="40">
        <v>45488</v>
      </c>
      <c r="K67" s="40" t="s">
        <v>79</v>
      </c>
      <c r="L67" s="39" t="s">
        <v>693</v>
      </c>
      <c r="M67" s="39" t="s">
        <v>119</v>
      </c>
      <c r="N67" s="39" t="s">
        <v>694</v>
      </c>
      <c r="O67" s="15" t="str">
        <f t="shared" si="5"/>
        <v>Valid</v>
      </c>
      <c r="P67" s="45">
        <v>3459559928</v>
      </c>
      <c r="Q67" s="45" t="s">
        <v>695</v>
      </c>
      <c r="R67" s="58"/>
      <c r="S67" s="49">
        <v>31048</v>
      </c>
      <c r="T67" s="45" t="s">
        <v>696</v>
      </c>
      <c r="U67" s="45" t="s">
        <v>697</v>
      </c>
      <c r="V67" s="45" t="s">
        <v>698</v>
      </c>
      <c r="W67" s="45" t="s">
        <v>43</v>
      </c>
      <c r="X67" s="18">
        <v>45808</v>
      </c>
      <c r="Y67" s="13" t="s">
        <v>44</v>
      </c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</row>
    <row r="68" spans="1:45" ht="26.25" customHeight="1" x14ac:dyDescent="0.25">
      <c r="A68" s="38">
        <v>22</v>
      </c>
      <c r="B68" s="38" t="s">
        <v>699</v>
      </c>
      <c r="C68" s="39" t="s">
        <v>700</v>
      </c>
      <c r="D68" s="39" t="s">
        <v>701</v>
      </c>
      <c r="E68" s="39" t="s">
        <v>482</v>
      </c>
      <c r="F68" s="39" t="s">
        <v>76</v>
      </c>
      <c r="G68" s="39" t="s">
        <v>483</v>
      </c>
      <c r="H68" s="38" t="s">
        <v>492</v>
      </c>
      <c r="I68" s="38" t="s">
        <v>34</v>
      </c>
      <c r="J68" s="40">
        <v>45122</v>
      </c>
      <c r="K68" s="40" t="s">
        <v>79</v>
      </c>
      <c r="L68" s="39" t="s">
        <v>702</v>
      </c>
      <c r="M68" s="39" t="s">
        <v>81</v>
      </c>
      <c r="N68" s="39" t="s">
        <v>703</v>
      </c>
      <c r="O68" s="15" t="str">
        <f t="shared" si="5"/>
        <v>Valid</v>
      </c>
      <c r="P68" s="53" t="s">
        <v>704</v>
      </c>
      <c r="Q68" s="39" t="s">
        <v>705</v>
      </c>
      <c r="R68" s="54" t="s">
        <v>706</v>
      </c>
      <c r="S68" s="55">
        <v>35730</v>
      </c>
      <c r="T68" s="39" t="s">
        <v>707</v>
      </c>
      <c r="U68" s="39"/>
      <c r="V68" s="39" t="s">
        <v>708</v>
      </c>
      <c r="W68" s="39"/>
      <c r="X68" s="18">
        <v>45808</v>
      </c>
      <c r="Y68" s="13" t="s">
        <v>44</v>
      </c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</row>
    <row r="69" spans="1:45" ht="26.25" customHeight="1" x14ac:dyDescent="0.25">
      <c r="A69" s="38">
        <v>23</v>
      </c>
      <c r="B69" s="38" t="s">
        <v>709</v>
      </c>
      <c r="C69" s="39" t="s">
        <v>710</v>
      </c>
      <c r="D69" s="39" t="s">
        <v>711</v>
      </c>
      <c r="E69" s="39" t="s">
        <v>325</v>
      </c>
      <c r="F69" s="39" t="s">
        <v>326</v>
      </c>
      <c r="G69" s="39" t="s">
        <v>48</v>
      </c>
      <c r="H69" s="38" t="s">
        <v>712</v>
      </c>
      <c r="I69" s="44" t="s">
        <v>62</v>
      </c>
      <c r="J69" s="40">
        <v>45693</v>
      </c>
      <c r="K69" s="40">
        <v>45782</v>
      </c>
      <c r="L69" s="45" t="s">
        <v>713</v>
      </c>
      <c r="M69" s="39" t="s">
        <v>714</v>
      </c>
      <c r="N69" s="46" t="s">
        <v>715</v>
      </c>
      <c r="O69" s="15" t="str">
        <f t="shared" si="5"/>
        <v>Valid</v>
      </c>
      <c r="P69" s="47" t="s">
        <v>716</v>
      </c>
      <c r="Q69" s="48" t="s">
        <v>717</v>
      </c>
      <c r="R69" s="41" t="s">
        <v>718</v>
      </c>
      <c r="S69" s="49">
        <v>35231</v>
      </c>
      <c r="T69" s="48" t="s">
        <v>719</v>
      </c>
      <c r="U69" s="48" t="s">
        <v>719</v>
      </c>
      <c r="V69" s="48" t="s">
        <v>720</v>
      </c>
      <c r="W69" s="39" t="s">
        <v>114</v>
      </c>
      <c r="X69" s="18">
        <v>45807</v>
      </c>
      <c r="Y69" s="13" t="s">
        <v>44</v>
      </c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</row>
    <row r="70" spans="1:45" ht="26.25" customHeight="1" x14ac:dyDescent="0.25">
      <c r="A70" s="38">
        <v>24</v>
      </c>
      <c r="B70" s="38" t="s">
        <v>721</v>
      </c>
      <c r="C70" s="39" t="s">
        <v>722</v>
      </c>
      <c r="D70" s="39" t="s">
        <v>723</v>
      </c>
      <c r="E70" s="39" t="s">
        <v>325</v>
      </c>
      <c r="F70" s="39" t="s">
        <v>326</v>
      </c>
      <c r="G70" s="39" t="s">
        <v>724</v>
      </c>
      <c r="H70" s="38" t="s">
        <v>725</v>
      </c>
      <c r="I70" s="44" t="s">
        <v>62</v>
      </c>
      <c r="J70" s="40">
        <v>45754</v>
      </c>
      <c r="K70" s="40">
        <v>45845</v>
      </c>
      <c r="L70" s="40" t="s">
        <v>726</v>
      </c>
      <c r="M70" s="39" t="s">
        <v>64</v>
      </c>
      <c r="N70" s="39" t="s">
        <v>727</v>
      </c>
      <c r="O70" s="15" t="str">
        <f t="shared" si="5"/>
        <v>Valid</v>
      </c>
      <c r="P70" s="45">
        <v>3437435211</v>
      </c>
      <c r="Q70" s="47" t="s">
        <v>728</v>
      </c>
      <c r="R70" s="41">
        <v>3181435469</v>
      </c>
      <c r="S70" s="49">
        <v>35930</v>
      </c>
      <c r="T70" s="49" t="s">
        <v>729</v>
      </c>
      <c r="U70" s="48" t="s">
        <v>729</v>
      </c>
      <c r="V70" s="48" t="s">
        <v>730</v>
      </c>
      <c r="W70" s="48" t="s">
        <v>79</v>
      </c>
      <c r="X70" s="18">
        <v>45807</v>
      </c>
      <c r="Y70" s="13" t="s">
        <v>44</v>
      </c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</row>
    <row r="71" spans="1:45" ht="26.25" customHeight="1" x14ac:dyDescent="0.25">
      <c r="A71" s="38">
        <v>25</v>
      </c>
      <c r="B71" s="38" t="s">
        <v>731</v>
      </c>
      <c r="C71" s="39" t="s">
        <v>732</v>
      </c>
      <c r="D71" s="39" t="s">
        <v>733</v>
      </c>
      <c r="E71" s="39" t="s">
        <v>325</v>
      </c>
      <c r="F71" s="39" t="s">
        <v>326</v>
      </c>
      <c r="G71" s="39" t="s">
        <v>48</v>
      </c>
      <c r="H71" s="38" t="s">
        <v>734</v>
      </c>
      <c r="I71" s="44" t="s">
        <v>62</v>
      </c>
      <c r="J71" s="40">
        <v>45755</v>
      </c>
      <c r="K71" s="40">
        <v>45846</v>
      </c>
      <c r="L71" s="40" t="s">
        <v>735</v>
      </c>
      <c r="M71" s="39" t="s">
        <v>356</v>
      </c>
      <c r="N71" s="39" t="s">
        <v>736</v>
      </c>
      <c r="O71" s="15" t="str">
        <f t="shared" si="5"/>
        <v>Valid</v>
      </c>
      <c r="P71" s="45">
        <v>3315516529</v>
      </c>
      <c r="Q71" s="47" t="s">
        <v>737</v>
      </c>
      <c r="R71" s="41">
        <v>3340662202</v>
      </c>
      <c r="S71" s="49">
        <v>37461</v>
      </c>
      <c r="T71" s="49" t="s">
        <v>738</v>
      </c>
      <c r="U71" s="48" t="s">
        <v>739</v>
      </c>
      <c r="V71" s="48" t="s">
        <v>740</v>
      </c>
      <c r="W71" s="48" t="s">
        <v>741</v>
      </c>
      <c r="X71" s="18">
        <v>45807</v>
      </c>
      <c r="Y71" s="13" t="s">
        <v>44</v>
      </c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</row>
    <row r="72" spans="1:45" ht="26.25" customHeight="1" x14ac:dyDescent="0.25">
      <c r="A72" s="38">
        <v>26</v>
      </c>
      <c r="B72" s="38" t="s">
        <v>742</v>
      </c>
      <c r="C72" s="39" t="s">
        <v>743</v>
      </c>
      <c r="D72" s="39" t="s">
        <v>744</v>
      </c>
      <c r="E72" s="39" t="s">
        <v>79</v>
      </c>
      <c r="F72" s="39" t="s">
        <v>79</v>
      </c>
      <c r="G72" s="39" t="s">
        <v>376</v>
      </c>
      <c r="H72" s="38" t="s">
        <v>745</v>
      </c>
      <c r="I72" s="44" t="s">
        <v>186</v>
      </c>
      <c r="J72" s="40">
        <v>45691</v>
      </c>
      <c r="K72" s="40">
        <v>45780</v>
      </c>
      <c r="L72" s="45" t="s">
        <v>746</v>
      </c>
      <c r="M72" s="39" t="s">
        <v>379</v>
      </c>
      <c r="N72" s="46" t="s">
        <v>747</v>
      </c>
      <c r="O72" s="15" t="str">
        <f t="shared" si="5"/>
        <v>Valid</v>
      </c>
      <c r="P72" s="47" t="s">
        <v>748</v>
      </c>
      <c r="Q72" s="48" t="s">
        <v>749</v>
      </c>
      <c r="R72" s="41" t="s">
        <v>750</v>
      </c>
      <c r="S72" s="49">
        <v>38596</v>
      </c>
      <c r="T72" s="48" t="s">
        <v>751</v>
      </c>
      <c r="U72" s="48" t="s">
        <v>751</v>
      </c>
      <c r="V72" s="48" t="s">
        <v>752</v>
      </c>
      <c r="W72" s="39" t="s">
        <v>203</v>
      </c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</row>
    <row r="73" spans="1:45" ht="26.25" customHeight="1" x14ac:dyDescent="0.25">
      <c r="A73" s="38">
        <v>27</v>
      </c>
      <c r="B73" s="38" t="s">
        <v>753</v>
      </c>
      <c r="C73" s="39" t="s">
        <v>754</v>
      </c>
      <c r="D73" s="39" t="s">
        <v>755</v>
      </c>
      <c r="E73" s="39" t="s">
        <v>30</v>
      </c>
      <c r="F73" s="39" t="s">
        <v>31</v>
      </c>
      <c r="G73" s="39" t="s">
        <v>299</v>
      </c>
      <c r="H73" s="38" t="s">
        <v>672</v>
      </c>
      <c r="I73" s="38" t="s">
        <v>34</v>
      </c>
      <c r="J73" s="40">
        <v>45119</v>
      </c>
      <c r="K73" s="40" t="s">
        <v>79</v>
      </c>
      <c r="L73" s="39" t="s">
        <v>756</v>
      </c>
      <c r="M73" s="39" t="s">
        <v>81</v>
      </c>
      <c r="N73" s="39" t="s">
        <v>757</v>
      </c>
      <c r="O73" s="15" t="str">
        <f t="shared" si="5"/>
        <v>Valid</v>
      </c>
      <c r="P73" s="53" t="s">
        <v>758</v>
      </c>
      <c r="Q73" s="39" t="s">
        <v>759</v>
      </c>
      <c r="R73" s="54" t="s">
        <v>760</v>
      </c>
      <c r="S73" s="55">
        <v>38026</v>
      </c>
      <c r="T73" s="39" t="s">
        <v>761</v>
      </c>
      <c r="U73" s="39"/>
      <c r="V73" s="39" t="s">
        <v>762</v>
      </c>
      <c r="W73" s="39"/>
      <c r="X73" s="18">
        <v>45808</v>
      </c>
      <c r="Y73" s="13" t="s">
        <v>349</v>
      </c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</row>
    <row r="74" spans="1:45" ht="23.25" customHeight="1" x14ac:dyDescent="0.25">
      <c r="A74" s="66">
        <v>28</v>
      </c>
      <c r="B74" s="66" t="s">
        <v>763</v>
      </c>
      <c r="C74" s="67" t="s">
        <v>764</v>
      </c>
      <c r="D74" s="68" t="s">
        <v>765</v>
      </c>
      <c r="E74" s="68" t="s">
        <v>30</v>
      </c>
      <c r="F74" s="68" t="s">
        <v>31</v>
      </c>
      <c r="G74" s="68" t="s">
        <v>32</v>
      </c>
      <c r="H74" s="66" t="s">
        <v>766</v>
      </c>
      <c r="I74" s="66" t="s">
        <v>34</v>
      </c>
      <c r="J74" s="69">
        <v>45112</v>
      </c>
      <c r="K74" s="68" t="s">
        <v>79</v>
      </c>
      <c r="L74" s="68" t="s">
        <v>767</v>
      </c>
      <c r="M74" s="68" t="s">
        <v>81</v>
      </c>
      <c r="N74" s="67" t="s">
        <v>768</v>
      </c>
      <c r="O74" s="15" t="s">
        <v>769</v>
      </c>
      <c r="P74" s="68">
        <v>3185027065</v>
      </c>
      <c r="Q74" s="68" t="s">
        <v>770</v>
      </c>
      <c r="R74" s="66">
        <v>3411124110</v>
      </c>
      <c r="S74" s="70">
        <v>34014</v>
      </c>
      <c r="T74" s="68" t="s">
        <v>771</v>
      </c>
      <c r="U74" s="68"/>
      <c r="V74" s="68" t="s">
        <v>772</v>
      </c>
      <c r="W74" s="68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</row>
    <row r="75" spans="1:45" ht="26.25" customHeight="1" thickBot="1" x14ac:dyDescent="0.3">
      <c r="A75" s="38">
        <v>29</v>
      </c>
      <c r="B75" s="38">
        <v>215</v>
      </c>
      <c r="C75" s="39" t="s">
        <v>773</v>
      </c>
      <c r="D75" s="39" t="s">
        <v>79</v>
      </c>
      <c r="E75" s="72" t="s">
        <v>774</v>
      </c>
      <c r="F75" s="73" t="s">
        <v>31</v>
      </c>
      <c r="G75" s="73" t="s">
        <v>775</v>
      </c>
      <c r="H75" s="74" t="s">
        <v>776</v>
      </c>
      <c r="I75" s="38" t="s">
        <v>34</v>
      </c>
      <c r="J75" s="40" t="s">
        <v>79</v>
      </c>
      <c r="K75" s="40" t="s">
        <v>79</v>
      </c>
      <c r="L75" s="39" t="s">
        <v>79</v>
      </c>
      <c r="M75" s="39" t="s">
        <v>777</v>
      </c>
      <c r="N75" s="39" t="s">
        <v>79</v>
      </c>
      <c r="O75" s="15" t="str">
        <f>IF(LEN(N75)=24, "Valid", "Invalid - Must be 24 digits")</f>
        <v>Invalid - Must be 24 digits</v>
      </c>
      <c r="P75" s="39" t="s">
        <v>777</v>
      </c>
      <c r="Q75" s="39" t="s">
        <v>777</v>
      </c>
      <c r="R75" s="39" t="s">
        <v>777</v>
      </c>
      <c r="S75" s="39" t="s">
        <v>777</v>
      </c>
      <c r="T75" s="39" t="s">
        <v>777</v>
      </c>
      <c r="U75" s="39" t="s">
        <v>777</v>
      </c>
      <c r="V75" s="39" t="s">
        <v>777</v>
      </c>
      <c r="W75" s="39" t="s">
        <v>777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</row>
    <row r="76" spans="1:45" ht="48" thickBot="1" x14ac:dyDescent="0.6">
      <c r="A76" s="8">
        <v>45839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</row>
    <row r="77" spans="1:45" ht="26.25" customHeight="1" x14ac:dyDescent="0.25">
      <c r="A77" s="38">
        <v>1</v>
      </c>
      <c r="B77" s="38" t="s">
        <v>778</v>
      </c>
      <c r="C77" s="39" t="s">
        <v>779</v>
      </c>
      <c r="D77" s="39" t="s">
        <v>780</v>
      </c>
      <c r="E77" s="72" t="s">
        <v>325</v>
      </c>
      <c r="F77" s="73" t="s">
        <v>326</v>
      </c>
      <c r="G77" s="73" t="s">
        <v>781</v>
      </c>
      <c r="H77" s="74" t="s">
        <v>782</v>
      </c>
      <c r="I77" s="44" t="s">
        <v>62</v>
      </c>
      <c r="J77" s="40">
        <v>45852</v>
      </c>
      <c r="K77" s="40">
        <v>45944</v>
      </c>
      <c r="L77" s="40" t="s">
        <v>783</v>
      </c>
      <c r="M77" s="39" t="s">
        <v>64</v>
      </c>
      <c r="N77" s="39" t="s">
        <v>784</v>
      </c>
      <c r="O77" s="15" t="str">
        <f t="shared" ref="O77:O79" si="6">IF(LEN(N77)=24, "Valid", "Invalid - Must be 24 digits")</f>
        <v>Valid</v>
      </c>
      <c r="P77" s="45">
        <v>3055711360</v>
      </c>
      <c r="Q77" s="47" t="s">
        <v>785</v>
      </c>
      <c r="R77" s="41">
        <v>3038101658</v>
      </c>
      <c r="S77" s="49">
        <v>38284</v>
      </c>
      <c r="T77" s="49" t="s">
        <v>786</v>
      </c>
      <c r="U77" s="48" t="s">
        <v>787</v>
      </c>
      <c r="V77" s="48" t="s">
        <v>788</v>
      </c>
      <c r="W77" s="48" t="s">
        <v>741</v>
      </c>
      <c r="X77" s="18"/>
      <c r="Y77" s="13"/>
      <c r="Z77" s="61" t="s">
        <v>789</v>
      </c>
      <c r="AA77" s="61" t="s">
        <v>790</v>
      </c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</row>
    <row r="78" spans="1:45" ht="26.25" customHeight="1" x14ac:dyDescent="0.25">
      <c r="A78" s="38">
        <v>2</v>
      </c>
      <c r="B78" s="38" t="s">
        <v>791</v>
      </c>
      <c r="C78" s="39" t="s">
        <v>792</v>
      </c>
      <c r="D78" s="39" t="s">
        <v>793</v>
      </c>
      <c r="E78" s="72" t="s">
        <v>30</v>
      </c>
      <c r="F78" s="73" t="s">
        <v>31</v>
      </c>
      <c r="G78" s="73" t="s">
        <v>299</v>
      </c>
      <c r="H78" s="74" t="s">
        <v>672</v>
      </c>
      <c r="I78" s="44" t="s">
        <v>34</v>
      </c>
      <c r="J78" s="40">
        <v>45119</v>
      </c>
      <c r="K78" s="40" t="s">
        <v>79</v>
      </c>
      <c r="L78" s="40" t="s">
        <v>794</v>
      </c>
      <c r="M78" s="39" t="s">
        <v>81</v>
      </c>
      <c r="N78" s="39" t="s">
        <v>795</v>
      </c>
      <c r="O78" s="15" t="str">
        <f t="shared" si="6"/>
        <v>Valid</v>
      </c>
      <c r="P78" s="75" t="s">
        <v>796</v>
      </c>
      <c r="Q78" s="47" t="s">
        <v>797</v>
      </c>
      <c r="R78" s="54" t="s">
        <v>798</v>
      </c>
      <c r="S78" s="49">
        <v>34823</v>
      </c>
      <c r="T78" s="49" t="s">
        <v>799</v>
      </c>
      <c r="U78" s="48"/>
      <c r="V78" s="48" t="s">
        <v>800</v>
      </c>
      <c r="W78" s="48"/>
      <c r="X78" s="18">
        <v>45859</v>
      </c>
      <c r="Y78" s="13" t="s">
        <v>44</v>
      </c>
      <c r="Z78" s="61"/>
      <c r="AA78" s="61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</row>
    <row r="79" spans="1:45" ht="26.25" customHeight="1" thickBot="1" x14ac:dyDescent="0.3">
      <c r="A79" s="38">
        <v>3</v>
      </c>
      <c r="B79" s="38" t="s">
        <v>801</v>
      </c>
      <c r="C79" s="39" t="s">
        <v>802</v>
      </c>
      <c r="D79" s="39" t="s">
        <v>803</v>
      </c>
      <c r="E79" s="72" t="s">
        <v>804</v>
      </c>
      <c r="F79" s="73" t="s">
        <v>172</v>
      </c>
      <c r="G79" s="73" t="s">
        <v>805</v>
      </c>
      <c r="H79" s="74" t="s">
        <v>806</v>
      </c>
      <c r="I79" s="44" t="s">
        <v>62</v>
      </c>
      <c r="J79" s="40">
        <v>45810</v>
      </c>
      <c r="K79" s="40">
        <v>45902</v>
      </c>
      <c r="L79" s="40" t="s">
        <v>807</v>
      </c>
      <c r="M79" s="39" t="s">
        <v>356</v>
      </c>
      <c r="N79" s="39" t="s">
        <v>808</v>
      </c>
      <c r="O79" s="15" t="str">
        <f t="shared" si="6"/>
        <v>Valid</v>
      </c>
      <c r="P79" s="45" t="s">
        <v>809</v>
      </c>
      <c r="Q79" s="47" t="s">
        <v>810</v>
      </c>
      <c r="R79" s="41" t="s">
        <v>811</v>
      </c>
      <c r="S79" s="49">
        <v>34963</v>
      </c>
      <c r="T79" s="49" t="s">
        <v>812</v>
      </c>
      <c r="U79" s="48" t="s">
        <v>812</v>
      </c>
      <c r="V79" s="48" t="s">
        <v>813</v>
      </c>
      <c r="W79" s="48" t="s">
        <v>114</v>
      </c>
      <c r="X79" s="18">
        <v>45863</v>
      </c>
      <c r="Y79" s="13" t="s">
        <v>44</v>
      </c>
      <c r="Z79" s="61" t="s">
        <v>814</v>
      </c>
      <c r="AA79" s="61" t="s">
        <v>815</v>
      </c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</row>
    <row r="80" spans="1:45" ht="48" thickBot="1" x14ac:dyDescent="0.6">
      <c r="A80" s="8">
        <v>45870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</row>
    <row r="81" spans="1:45" ht="26.25" customHeight="1" x14ac:dyDescent="0.25">
      <c r="A81" s="38">
        <v>1</v>
      </c>
      <c r="B81" s="38" t="s">
        <v>816</v>
      </c>
      <c r="C81" s="39" t="s">
        <v>817</v>
      </c>
      <c r="D81" s="39" t="s">
        <v>818</v>
      </c>
      <c r="E81" s="72" t="s">
        <v>819</v>
      </c>
      <c r="F81" s="73" t="s">
        <v>820</v>
      </c>
      <c r="G81" s="73" t="s">
        <v>339</v>
      </c>
      <c r="H81" s="74" t="s">
        <v>134</v>
      </c>
      <c r="I81" s="44" t="s">
        <v>62</v>
      </c>
      <c r="J81" s="40">
        <v>45755</v>
      </c>
      <c r="K81" s="40">
        <v>45846</v>
      </c>
      <c r="L81" s="40" t="s">
        <v>821</v>
      </c>
      <c r="M81" s="39" t="s">
        <v>822</v>
      </c>
      <c r="N81" s="39" t="s">
        <v>823</v>
      </c>
      <c r="O81" s="15" t="str">
        <f t="shared" ref="O81:O85" si="7">IF(LEN(N81)=24, "Valid", "Invalid - Must be 24 digits")</f>
        <v>Valid</v>
      </c>
      <c r="P81" s="45">
        <v>3371440278</v>
      </c>
      <c r="Q81" s="47" t="s">
        <v>824</v>
      </c>
      <c r="R81" s="76" t="s">
        <v>825</v>
      </c>
      <c r="S81" s="49">
        <v>31944</v>
      </c>
      <c r="T81" s="49" t="s">
        <v>826</v>
      </c>
      <c r="U81" s="48" t="s">
        <v>826</v>
      </c>
      <c r="V81" s="48" t="s">
        <v>827</v>
      </c>
      <c r="W81" s="48" t="s">
        <v>203</v>
      </c>
      <c r="X81" s="18">
        <v>45875</v>
      </c>
      <c r="Y81" s="13" t="s">
        <v>828</v>
      </c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</row>
    <row r="82" spans="1:45" ht="26.25" customHeight="1" x14ac:dyDescent="0.25">
      <c r="A82" s="38">
        <v>3</v>
      </c>
      <c r="B82" s="38" t="s">
        <v>829</v>
      </c>
      <c r="C82" s="39" t="s">
        <v>830</v>
      </c>
      <c r="D82" s="39" t="s">
        <v>831</v>
      </c>
      <c r="E82" s="39" t="s">
        <v>138</v>
      </c>
      <c r="F82" s="39" t="s">
        <v>92</v>
      </c>
      <c r="G82" s="39" t="s">
        <v>832</v>
      </c>
      <c r="H82" s="38" t="s">
        <v>833</v>
      </c>
      <c r="I82" s="38" t="s">
        <v>34</v>
      </c>
      <c r="J82" s="40">
        <v>44963</v>
      </c>
      <c r="K82" s="40" t="s">
        <v>79</v>
      </c>
      <c r="L82" s="39" t="s">
        <v>834</v>
      </c>
      <c r="M82" s="39" t="s">
        <v>81</v>
      </c>
      <c r="N82" s="39" t="s">
        <v>835</v>
      </c>
      <c r="O82" s="15" t="str">
        <f t="shared" si="7"/>
        <v>Valid</v>
      </c>
      <c r="P82" s="53" t="s">
        <v>836</v>
      </c>
      <c r="Q82" s="39" t="s">
        <v>837</v>
      </c>
      <c r="R82" s="77" t="s">
        <v>838</v>
      </c>
      <c r="S82" s="55">
        <v>34520</v>
      </c>
      <c r="T82" s="39" t="s">
        <v>839</v>
      </c>
      <c r="U82" s="39"/>
      <c r="V82" s="38"/>
      <c r="W82" s="39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</row>
    <row r="83" spans="1:45" ht="26.25" customHeight="1" x14ac:dyDescent="0.25">
      <c r="A83" s="38">
        <v>4</v>
      </c>
      <c r="B83" s="38" t="s">
        <v>840</v>
      </c>
      <c r="C83" s="39" t="s">
        <v>841</v>
      </c>
      <c r="D83" s="48" t="s">
        <v>842</v>
      </c>
      <c r="E83" s="68" t="s">
        <v>843</v>
      </c>
      <c r="F83" s="78" t="s">
        <v>31</v>
      </c>
      <c r="G83" s="79" t="s">
        <v>339</v>
      </c>
      <c r="H83" s="80" t="s">
        <v>844</v>
      </c>
      <c r="I83" s="38" t="s">
        <v>34</v>
      </c>
      <c r="J83" s="40">
        <v>45422</v>
      </c>
      <c r="K83" s="40" t="s">
        <v>79</v>
      </c>
      <c r="L83" s="39" t="s">
        <v>845</v>
      </c>
      <c r="M83" s="39" t="s">
        <v>846</v>
      </c>
      <c r="N83" s="39" t="s">
        <v>847</v>
      </c>
      <c r="O83" s="15" t="str">
        <f t="shared" si="7"/>
        <v>Valid</v>
      </c>
      <c r="P83" s="39" t="s">
        <v>848</v>
      </c>
      <c r="Q83" s="48" t="s">
        <v>849</v>
      </c>
      <c r="R83" s="76">
        <v>3326084015</v>
      </c>
      <c r="S83" s="49">
        <v>36973</v>
      </c>
      <c r="T83" s="48" t="s">
        <v>850</v>
      </c>
      <c r="U83" s="48" t="s">
        <v>850</v>
      </c>
      <c r="V83" s="48" t="s">
        <v>851</v>
      </c>
      <c r="W83" s="39" t="s">
        <v>852</v>
      </c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</row>
    <row r="84" spans="1:45" ht="26.25" customHeight="1" x14ac:dyDescent="0.25">
      <c r="A84" s="38">
        <v>5</v>
      </c>
      <c r="B84" s="38" t="s">
        <v>853</v>
      </c>
      <c r="C84" s="39" t="s">
        <v>854</v>
      </c>
      <c r="D84" s="62" t="s">
        <v>855</v>
      </c>
      <c r="E84" s="72" t="s">
        <v>856</v>
      </c>
      <c r="F84" s="73" t="s">
        <v>172</v>
      </c>
      <c r="G84" s="73" t="s">
        <v>173</v>
      </c>
      <c r="H84" s="74" t="s">
        <v>94</v>
      </c>
      <c r="I84" s="38" t="s">
        <v>34</v>
      </c>
      <c r="J84" s="40">
        <v>45348</v>
      </c>
      <c r="K84" s="40" t="s">
        <v>79</v>
      </c>
      <c r="L84" s="39" t="s">
        <v>857</v>
      </c>
      <c r="M84" s="39" t="s">
        <v>81</v>
      </c>
      <c r="N84" s="39" t="s">
        <v>858</v>
      </c>
      <c r="O84" s="15" t="str">
        <f t="shared" si="7"/>
        <v>Valid</v>
      </c>
      <c r="P84" s="62">
        <v>3323747722</v>
      </c>
      <c r="Q84" s="62" t="s">
        <v>859</v>
      </c>
      <c r="R84" s="81">
        <v>3143900013</v>
      </c>
      <c r="S84" s="42">
        <v>35439</v>
      </c>
      <c r="T84" s="62" t="s">
        <v>860</v>
      </c>
      <c r="U84" s="62"/>
      <c r="V84" s="62" t="s">
        <v>258</v>
      </c>
      <c r="W84" s="39"/>
      <c r="X84" s="18">
        <v>45906</v>
      </c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</row>
    <row r="85" spans="1:45" ht="26.25" customHeight="1" x14ac:dyDescent="0.25">
      <c r="A85" s="38">
        <v>6</v>
      </c>
      <c r="B85" s="38" t="s">
        <v>861</v>
      </c>
      <c r="C85" s="39" t="s">
        <v>862</v>
      </c>
      <c r="D85" s="48" t="s">
        <v>863</v>
      </c>
      <c r="E85" s="72" t="s">
        <v>864</v>
      </c>
      <c r="F85" s="73" t="s">
        <v>865</v>
      </c>
      <c r="G85" s="73" t="s">
        <v>339</v>
      </c>
      <c r="H85" s="74" t="s">
        <v>186</v>
      </c>
      <c r="I85" s="38" t="s">
        <v>34</v>
      </c>
      <c r="J85" s="40">
        <v>45640</v>
      </c>
      <c r="K85" s="40">
        <v>45730</v>
      </c>
      <c r="L85" s="45" t="s">
        <v>866</v>
      </c>
      <c r="M85" s="39" t="s">
        <v>867</v>
      </c>
      <c r="N85" s="46" t="s">
        <v>868</v>
      </c>
      <c r="O85" s="15" t="str">
        <f t="shared" si="7"/>
        <v>Valid</v>
      </c>
      <c r="P85" s="39" t="s">
        <v>869</v>
      </c>
      <c r="Q85" s="48" t="s">
        <v>870</v>
      </c>
      <c r="R85" s="76" t="s">
        <v>871</v>
      </c>
      <c r="S85" s="49">
        <v>37645</v>
      </c>
      <c r="T85" s="48" t="s">
        <v>872</v>
      </c>
      <c r="U85" s="48" t="s">
        <v>873</v>
      </c>
      <c r="V85" s="48" t="s">
        <v>874</v>
      </c>
      <c r="W85" s="39" t="s">
        <v>43</v>
      </c>
      <c r="X85" s="18">
        <v>45884</v>
      </c>
      <c r="Y85" s="13" t="s">
        <v>349</v>
      </c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</row>
    <row r="87" spans="1:45" ht="15.75" customHeight="1" thickBot="1" x14ac:dyDescent="0.6">
      <c r="A87" s="8">
        <v>45901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</row>
    <row r="88" spans="1:45" ht="26.25" customHeight="1" x14ac:dyDescent="0.25">
      <c r="A88" s="38">
        <v>1</v>
      </c>
      <c r="B88" s="38" t="s">
        <v>875</v>
      </c>
      <c r="C88" s="39" t="s">
        <v>876</v>
      </c>
      <c r="D88" s="39" t="s">
        <v>877</v>
      </c>
      <c r="E88" s="72" t="s">
        <v>878</v>
      </c>
      <c r="F88" s="73" t="s">
        <v>172</v>
      </c>
      <c r="G88" s="73" t="s">
        <v>879</v>
      </c>
      <c r="H88" s="74" t="s">
        <v>880</v>
      </c>
      <c r="I88" s="44" t="s">
        <v>62</v>
      </c>
      <c r="J88" s="40">
        <v>45903</v>
      </c>
      <c r="K88" s="40">
        <v>45994</v>
      </c>
      <c r="L88" s="40" t="s">
        <v>881</v>
      </c>
      <c r="M88" s="39"/>
      <c r="N88" s="39"/>
      <c r="O88" s="15" t="str">
        <f t="shared" ref="O88:O90" si="8">IF(LEN(N88)=24, "Valid", "Invalid - Must be 24 digits")</f>
        <v>Invalid - Must be 24 digits</v>
      </c>
      <c r="P88" s="45">
        <v>3320333583</v>
      </c>
      <c r="Q88" s="47" t="s">
        <v>882</v>
      </c>
      <c r="R88" s="76" t="s">
        <v>883</v>
      </c>
      <c r="S88" s="49">
        <v>37592</v>
      </c>
      <c r="T88" s="49" t="s">
        <v>884</v>
      </c>
      <c r="U88" s="48" t="s">
        <v>884</v>
      </c>
      <c r="V88" s="48" t="s">
        <v>885</v>
      </c>
      <c r="W88" s="39" t="s">
        <v>596</v>
      </c>
      <c r="X88" s="18">
        <v>45909</v>
      </c>
      <c r="Y88" s="13" t="s">
        <v>349</v>
      </c>
      <c r="Z88" s="61" t="s">
        <v>886</v>
      </c>
      <c r="AA88" s="61" t="s">
        <v>887</v>
      </c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</row>
    <row r="89" spans="1:45" ht="26.25" customHeight="1" x14ac:dyDescent="0.25">
      <c r="A89" s="38">
        <v>2</v>
      </c>
      <c r="B89" s="38" t="s">
        <v>888</v>
      </c>
      <c r="C89" s="39" t="s">
        <v>889</v>
      </c>
      <c r="D89" s="39" t="s">
        <v>890</v>
      </c>
      <c r="E89" s="72" t="s">
        <v>891</v>
      </c>
      <c r="F89" s="73" t="s">
        <v>820</v>
      </c>
      <c r="G89" s="73" t="s">
        <v>619</v>
      </c>
      <c r="H89" s="74" t="s">
        <v>327</v>
      </c>
      <c r="I89" s="38" t="s">
        <v>34</v>
      </c>
      <c r="J89" s="40">
        <v>45750</v>
      </c>
      <c r="K89" s="40">
        <v>45841</v>
      </c>
      <c r="L89" s="40" t="s">
        <v>892</v>
      </c>
      <c r="M89" s="39" t="s">
        <v>64</v>
      </c>
      <c r="N89" s="39" t="s">
        <v>893</v>
      </c>
      <c r="O89" s="15" t="str">
        <f t="shared" si="8"/>
        <v>Valid</v>
      </c>
      <c r="P89" s="45" t="s">
        <v>894</v>
      </c>
      <c r="Q89" s="47" t="s">
        <v>895</v>
      </c>
      <c r="R89" s="76">
        <f>923446575600</f>
        <v>923446575600</v>
      </c>
      <c r="S89" s="49">
        <v>36947</v>
      </c>
      <c r="T89" s="49" t="s">
        <v>896</v>
      </c>
      <c r="U89" s="48" t="s">
        <v>897</v>
      </c>
      <c r="V89" s="48" t="s">
        <v>898</v>
      </c>
      <c r="W89" s="48" t="s">
        <v>203</v>
      </c>
      <c r="X89" s="18">
        <v>45915</v>
      </c>
      <c r="Y89" s="13" t="s">
        <v>44</v>
      </c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</row>
    <row r="90" spans="1:45" ht="26.25" customHeight="1" x14ac:dyDescent="0.25">
      <c r="A90" s="38">
        <v>3</v>
      </c>
      <c r="B90" s="38" t="s">
        <v>899</v>
      </c>
      <c r="C90" s="39" t="s">
        <v>900</v>
      </c>
      <c r="D90" s="39" t="s">
        <v>901</v>
      </c>
      <c r="E90" s="72" t="s">
        <v>902</v>
      </c>
      <c r="F90" s="73" t="s">
        <v>31</v>
      </c>
      <c r="G90" s="73" t="s">
        <v>339</v>
      </c>
      <c r="H90" s="74" t="s">
        <v>134</v>
      </c>
      <c r="I90" s="38" t="s">
        <v>34</v>
      </c>
      <c r="J90" s="40">
        <v>45726</v>
      </c>
      <c r="K90" s="40">
        <v>45818</v>
      </c>
      <c r="L90" s="40" t="s">
        <v>903</v>
      </c>
      <c r="M90" s="45" t="s">
        <v>356</v>
      </c>
      <c r="N90" s="39" t="s">
        <v>904</v>
      </c>
      <c r="O90" s="15" t="str">
        <f t="shared" si="8"/>
        <v>Valid</v>
      </c>
      <c r="P90" s="46" t="s">
        <v>905</v>
      </c>
      <c r="Q90" s="47" t="s">
        <v>906</v>
      </c>
      <c r="R90" s="76" t="s">
        <v>907</v>
      </c>
      <c r="S90" s="49">
        <v>35261</v>
      </c>
      <c r="T90" s="49" t="s">
        <v>908</v>
      </c>
      <c r="U90" s="48" t="s">
        <v>909</v>
      </c>
      <c r="V90" s="48" t="s">
        <v>910</v>
      </c>
      <c r="W90" s="48" t="s">
        <v>596</v>
      </c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</row>
    <row r="92" spans="1:45" ht="26.25" customHeight="1" thickBot="1" x14ac:dyDescent="0.3">
      <c r="A92" s="38">
        <v>5</v>
      </c>
      <c r="B92" s="44" t="s">
        <v>911</v>
      </c>
      <c r="C92" s="82" t="s">
        <v>912</v>
      </c>
      <c r="D92" s="39" t="s">
        <v>913</v>
      </c>
      <c r="E92" s="72" t="s">
        <v>819</v>
      </c>
      <c r="F92" s="73" t="s">
        <v>820</v>
      </c>
      <c r="G92" s="73" t="s">
        <v>339</v>
      </c>
      <c r="H92" s="74" t="s">
        <v>914</v>
      </c>
      <c r="I92" s="44" t="s">
        <v>62</v>
      </c>
      <c r="J92" s="40">
        <v>45768</v>
      </c>
      <c r="K92" s="40">
        <v>45859</v>
      </c>
      <c r="L92" s="40" t="s">
        <v>915</v>
      </c>
      <c r="M92" s="39" t="s">
        <v>714</v>
      </c>
      <c r="N92" s="39" t="s">
        <v>916</v>
      </c>
      <c r="O92" s="15" t="str">
        <f>IF(LEN(N92)=24, "Valid", "Invalid - Must be 24 digits")</f>
        <v>Valid</v>
      </c>
      <c r="P92" s="45" t="s">
        <v>917</v>
      </c>
      <c r="Q92" s="47" t="s">
        <v>918</v>
      </c>
      <c r="R92" s="76">
        <v>3404095164</v>
      </c>
      <c r="S92" s="49">
        <v>36281</v>
      </c>
      <c r="T92" s="49" t="s">
        <v>919</v>
      </c>
      <c r="U92" s="48" t="s">
        <v>920</v>
      </c>
      <c r="V92" s="48" t="s">
        <v>921</v>
      </c>
      <c r="W92" s="48" t="s">
        <v>43</v>
      </c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</row>
    <row r="93" spans="1:45" ht="15.75" customHeight="1" thickBot="1" x14ac:dyDescent="0.6">
      <c r="A93" s="8">
        <v>45931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</row>
    <row r="94" spans="1:45" ht="26.25" customHeight="1" x14ac:dyDescent="0.25">
      <c r="A94" s="38">
        <v>1</v>
      </c>
      <c r="B94" s="38" t="s">
        <v>922</v>
      </c>
      <c r="C94" s="39" t="s">
        <v>923</v>
      </c>
      <c r="D94" s="39" t="s">
        <v>924</v>
      </c>
      <c r="E94" s="73" t="s">
        <v>925</v>
      </c>
      <c r="F94" s="73" t="s">
        <v>926</v>
      </c>
      <c r="G94" s="73" t="s">
        <v>229</v>
      </c>
      <c r="H94" s="74" t="s">
        <v>927</v>
      </c>
      <c r="I94" s="44" t="s">
        <v>62</v>
      </c>
      <c r="J94" s="40">
        <v>45945</v>
      </c>
      <c r="K94" s="40">
        <v>46037</v>
      </c>
      <c r="L94" s="39" t="s">
        <v>928</v>
      </c>
      <c r="M94" s="39" t="s">
        <v>929</v>
      </c>
      <c r="N94" s="39" t="s">
        <v>930</v>
      </c>
      <c r="O94" s="15" t="str">
        <f t="shared" ref="O94:O95" si="9">IF(LEN(N94)=24, "Valid", "Invalid - Must be 24 digits")</f>
        <v>Valid</v>
      </c>
      <c r="P94" s="45">
        <v>3125400549</v>
      </c>
      <c r="Q94" s="47" t="s">
        <v>931</v>
      </c>
      <c r="R94" s="76">
        <v>3009812837</v>
      </c>
      <c r="S94" s="49">
        <v>34682</v>
      </c>
      <c r="T94" s="49" t="s">
        <v>932</v>
      </c>
      <c r="U94" s="48" t="s">
        <v>932</v>
      </c>
      <c r="V94" s="48" t="s">
        <v>933</v>
      </c>
      <c r="W94" s="39" t="s">
        <v>203</v>
      </c>
      <c r="X94" s="18">
        <v>45953</v>
      </c>
      <c r="Y94" s="13" t="s">
        <v>349</v>
      </c>
      <c r="Z94" s="61" t="s">
        <v>934</v>
      </c>
      <c r="AA94" s="61" t="s">
        <v>935</v>
      </c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</row>
    <row r="95" spans="1:45" ht="26.25" customHeight="1" x14ac:dyDescent="0.25">
      <c r="A95" s="38">
        <v>2</v>
      </c>
      <c r="B95" s="38" t="s">
        <v>936</v>
      </c>
      <c r="C95" s="39" t="s">
        <v>937</v>
      </c>
      <c r="D95" s="39" t="s">
        <v>938</v>
      </c>
      <c r="E95" s="73" t="s">
        <v>878</v>
      </c>
      <c r="F95" s="73" t="s">
        <v>172</v>
      </c>
      <c r="G95" s="73" t="s">
        <v>805</v>
      </c>
      <c r="H95" s="74" t="s">
        <v>939</v>
      </c>
      <c r="I95" s="44" t="s">
        <v>62</v>
      </c>
      <c r="J95" s="40">
        <v>45866</v>
      </c>
      <c r="K95" s="40">
        <v>45958</v>
      </c>
      <c r="L95" s="40" t="s">
        <v>940</v>
      </c>
      <c r="M95" s="39" t="s">
        <v>548</v>
      </c>
      <c r="N95" s="39" t="s">
        <v>941</v>
      </c>
      <c r="O95" s="15" t="str">
        <f t="shared" si="9"/>
        <v>Valid</v>
      </c>
      <c r="P95" s="45">
        <v>3333387722</v>
      </c>
      <c r="Q95" s="47" t="s">
        <v>942</v>
      </c>
      <c r="R95" s="76">
        <v>3155566306</v>
      </c>
      <c r="S95" s="49">
        <v>31266</v>
      </c>
      <c r="T95" s="49" t="s">
        <v>943</v>
      </c>
      <c r="U95" s="48" t="s">
        <v>944</v>
      </c>
      <c r="V95" s="48" t="s">
        <v>945</v>
      </c>
      <c r="W95" s="39" t="s">
        <v>777</v>
      </c>
      <c r="X95" s="18">
        <v>45953</v>
      </c>
      <c r="Y95" s="13" t="s">
        <v>44</v>
      </c>
      <c r="Z95" s="61" t="s">
        <v>946</v>
      </c>
      <c r="AA95" s="61" t="s">
        <v>947</v>
      </c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</row>
    <row r="96" spans="1:45" ht="21" customHeight="1" x14ac:dyDescent="0.25">
      <c r="A96" s="38">
        <v>3</v>
      </c>
      <c r="B96" s="38" t="s">
        <v>948</v>
      </c>
      <c r="C96" s="39" t="s">
        <v>949</v>
      </c>
      <c r="D96" s="39" t="s">
        <v>950</v>
      </c>
      <c r="E96" s="72" t="s">
        <v>326</v>
      </c>
      <c r="F96" s="73" t="s">
        <v>76</v>
      </c>
      <c r="G96" s="39" t="s">
        <v>48</v>
      </c>
      <c r="H96" s="38" t="s">
        <v>951</v>
      </c>
      <c r="I96" s="44" t="s">
        <v>62</v>
      </c>
      <c r="J96" s="40">
        <v>45719</v>
      </c>
      <c r="K96" s="40">
        <v>45811</v>
      </c>
      <c r="L96" s="40" t="s">
        <v>952</v>
      </c>
      <c r="M96" s="45" t="s">
        <v>329</v>
      </c>
      <c r="N96" s="39" t="s">
        <v>953</v>
      </c>
      <c r="O96" s="46" t="s">
        <v>769</v>
      </c>
      <c r="P96" s="46" t="s">
        <v>954</v>
      </c>
      <c r="Q96" s="47" t="s">
        <v>955</v>
      </c>
      <c r="R96" s="41" t="s">
        <v>956</v>
      </c>
      <c r="S96" s="49">
        <v>36194</v>
      </c>
      <c r="T96" s="49" t="s">
        <v>957</v>
      </c>
      <c r="U96" s="48" t="s">
        <v>958</v>
      </c>
      <c r="V96" s="48" t="s">
        <v>959</v>
      </c>
      <c r="W96" s="48" t="s">
        <v>43</v>
      </c>
      <c r="X96" s="18">
        <v>45960</v>
      </c>
      <c r="Y96" s="13" t="s">
        <v>44</v>
      </c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</row>
    <row r="97" spans="1:45" ht="26.25" customHeight="1" x14ac:dyDescent="0.25">
      <c r="A97" s="38">
        <v>4</v>
      </c>
      <c r="B97" s="38" t="s">
        <v>960</v>
      </c>
      <c r="C97" s="39" t="s">
        <v>961</v>
      </c>
      <c r="D97" s="39" t="s">
        <v>962</v>
      </c>
      <c r="E97" s="72" t="s">
        <v>326</v>
      </c>
      <c r="F97" s="73" t="s">
        <v>76</v>
      </c>
      <c r="G97" s="39" t="s">
        <v>48</v>
      </c>
      <c r="H97" s="38" t="s">
        <v>963</v>
      </c>
      <c r="I97" s="44" t="s">
        <v>62</v>
      </c>
      <c r="J97" s="40">
        <v>45792</v>
      </c>
      <c r="K97" s="40">
        <v>45884</v>
      </c>
      <c r="L97" s="40" t="s">
        <v>964</v>
      </c>
      <c r="M97" s="39"/>
      <c r="N97" s="39"/>
      <c r="O97" s="15" t="str">
        <f t="shared" ref="O97:O99" si="10">IF(LEN(N97)=24, "Valid", "Invalid - Must be 24 digits")</f>
        <v>Invalid - Must be 24 digits</v>
      </c>
      <c r="P97" s="45" t="s">
        <v>965</v>
      </c>
      <c r="Q97" s="47" t="s">
        <v>966</v>
      </c>
      <c r="R97" s="41" t="s">
        <v>967</v>
      </c>
      <c r="S97" s="49">
        <v>34403</v>
      </c>
      <c r="T97" s="49" t="s">
        <v>968</v>
      </c>
      <c r="U97" s="48" t="s">
        <v>968</v>
      </c>
      <c r="V97" s="48" t="s">
        <v>969</v>
      </c>
      <c r="W97" s="48" t="s">
        <v>203</v>
      </c>
      <c r="X97" s="18">
        <v>45960</v>
      </c>
      <c r="Y97" s="13" t="s">
        <v>44</v>
      </c>
      <c r="Z97" s="61" t="s">
        <v>970</v>
      </c>
      <c r="AA97" s="61" t="s">
        <v>971</v>
      </c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</row>
    <row r="98" spans="1:45" ht="26.25" customHeight="1" x14ac:dyDescent="0.25">
      <c r="A98" s="38">
        <v>5</v>
      </c>
      <c r="B98" s="38" t="s">
        <v>972</v>
      </c>
      <c r="C98" s="39" t="s">
        <v>973</v>
      </c>
      <c r="D98" s="39" t="s">
        <v>974</v>
      </c>
      <c r="E98" s="72" t="s">
        <v>975</v>
      </c>
      <c r="F98" s="73" t="s">
        <v>172</v>
      </c>
      <c r="G98" s="39" t="s">
        <v>339</v>
      </c>
      <c r="H98" s="38" t="s">
        <v>976</v>
      </c>
      <c r="I98" s="44" t="s">
        <v>34</v>
      </c>
      <c r="J98" s="40">
        <v>45769</v>
      </c>
      <c r="K98" s="40">
        <v>45860</v>
      </c>
      <c r="L98" s="40" t="s">
        <v>977</v>
      </c>
      <c r="M98" s="39" t="s">
        <v>978</v>
      </c>
      <c r="N98" s="39" t="s">
        <v>979</v>
      </c>
      <c r="O98" s="15" t="str">
        <f t="shared" si="10"/>
        <v>Valid</v>
      </c>
      <c r="P98" s="45" t="s">
        <v>980</v>
      </c>
      <c r="Q98" s="47" t="s">
        <v>981</v>
      </c>
      <c r="R98" s="41">
        <v>3209413814</v>
      </c>
      <c r="S98" s="49">
        <v>37546</v>
      </c>
      <c r="T98" s="49" t="s">
        <v>982</v>
      </c>
      <c r="U98" s="48" t="s">
        <v>982</v>
      </c>
      <c r="V98" s="48" t="s">
        <v>983</v>
      </c>
      <c r="W98" s="48" t="s">
        <v>459</v>
      </c>
      <c r="X98" s="18">
        <v>45960</v>
      </c>
      <c r="Y98" s="13" t="s">
        <v>44</v>
      </c>
      <c r="Z98" s="61"/>
      <c r="AA98" s="61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</row>
    <row r="99" spans="1:45" ht="26.25" customHeight="1" x14ac:dyDescent="0.25">
      <c r="A99" s="38">
        <v>6</v>
      </c>
      <c r="B99" s="38" t="s">
        <v>984</v>
      </c>
      <c r="C99" s="39" t="s">
        <v>985</v>
      </c>
      <c r="D99" s="39" t="s">
        <v>986</v>
      </c>
      <c r="E99" s="73" t="s">
        <v>987</v>
      </c>
      <c r="F99" s="73" t="s">
        <v>172</v>
      </c>
      <c r="G99" s="73" t="s">
        <v>988</v>
      </c>
      <c r="H99" s="74" t="s">
        <v>989</v>
      </c>
      <c r="I99" s="44" t="s">
        <v>62</v>
      </c>
      <c r="J99" s="40">
        <v>45931</v>
      </c>
      <c r="K99" s="40">
        <v>46023</v>
      </c>
      <c r="L99" s="39" t="s">
        <v>990</v>
      </c>
      <c r="M99" s="39" t="s">
        <v>64</v>
      </c>
      <c r="N99" s="39" t="s">
        <v>991</v>
      </c>
      <c r="O99" s="15" t="str">
        <f t="shared" si="10"/>
        <v>Valid</v>
      </c>
      <c r="P99" s="45" t="s">
        <v>992</v>
      </c>
      <c r="Q99" s="47" t="s">
        <v>993</v>
      </c>
      <c r="R99" s="76" t="s">
        <v>994</v>
      </c>
      <c r="S99" s="49">
        <v>32906</v>
      </c>
      <c r="T99" s="49" t="s">
        <v>995</v>
      </c>
      <c r="U99" s="48" t="s">
        <v>996</v>
      </c>
      <c r="V99" s="48" t="s">
        <v>997</v>
      </c>
      <c r="W99" s="39" t="s">
        <v>114</v>
      </c>
      <c r="X99" s="18">
        <v>45960</v>
      </c>
      <c r="Y99" s="13" t="s">
        <v>44</v>
      </c>
      <c r="Z99" s="61" t="s">
        <v>998</v>
      </c>
      <c r="AA99" s="61" t="s">
        <v>999</v>
      </c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</row>
    <row r="100" spans="1:45" ht="15.75" customHeight="1" thickBot="1" x14ac:dyDescent="0.25"/>
    <row r="101" spans="1:45" ht="15.75" customHeight="1" thickBot="1" x14ac:dyDescent="0.6">
      <c r="A101" s="8">
        <v>45962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</row>
    <row r="102" spans="1:45" ht="26.25" customHeight="1" x14ac:dyDescent="0.25">
      <c r="A102" s="38">
        <v>1</v>
      </c>
      <c r="B102" s="38" t="s">
        <v>1000</v>
      </c>
      <c r="C102" s="39" t="s">
        <v>447</v>
      </c>
      <c r="D102" s="48" t="s">
        <v>1001</v>
      </c>
      <c r="E102" s="72" t="s">
        <v>804</v>
      </c>
      <c r="F102" s="73" t="s">
        <v>172</v>
      </c>
      <c r="G102" s="73" t="s">
        <v>1002</v>
      </c>
      <c r="H102" s="74" t="s">
        <v>1003</v>
      </c>
      <c r="I102" s="38" t="s">
        <v>34</v>
      </c>
      <c r="J102" s="40">
        <v>45586</v>
      </c>
      <c r="K102" s="40">
        <v>45678</v>
      </c>
      <c r="L102" s="39" t="s">
        <v>1004</v>
      </c>
      <c r="M102" s="39" t="s">
        <v>219</v>
      </c>
      <c r="N102" s="39" t="s">
        <v>1005</v>
      </c>
      <c r="O102" s="15" t="str">
        <f t="shared" ref="O102:O107" si="11">IF(LEN(N102)=24, "Valid", "Invalid - Must be 24 digits")</f>
        <v>Valid</v>
      </c>
      <c r="P102" s="39" t="s">
        <v>1006</v>
      </c>
      <c r="Q102" s="48" t="s">
        <v>1007</v>
      </c>
      <c r="R102" s="76" t="s">
        <v>1008</v>
      </c>
      <c r="S102" s="49">
        <v>37073</v>
      </c>
      <c r="T102" s="48" t="s">
        <v>1009</v>
      </c>
      <c r="U102" s="48" t="s">
        <v>1009</v>
      </c>
      <c r="V102" s="48" t="s">
        <v>1010</v>
      </c>
      <c r="W102" s="39"/>
      <c r="X102" s="18">
        <v>45991</v>
      </c>
      <c r="Y102" s="13" t="s">
        <v>349</v>
      </c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</row>
    <row r="103" spans="1:45" ht="26.25" customHeight="1" x14ac:dyDescent="0.25">
      <c r="A103" s="38">
        <v>2</v>
      </c>
      <c r="B103" s="38" t="s">
        <v>1011</v>
      </c>
      <c r="C103" s="39" t="s">
        <v>1012</v>
      </c>
      <c r="D103" s="48" t="s">
        <v>1013</v>
      </c>
      <c r="E103" s="72" t="s">
        <v>774</v>
      </c>
      <c r="F103" s="73" t="s">
        <v>31</v>
      </c>
      <c r="G103" s="73" t="s">
        <v>1014</v>
      </c>
      <c r="H103" s="74" t="s">
        <v>1015</v>
      </c>
      <c r="I103" s="38" t="s">
        <v>34</v>
      </c>
      <c r="J103" s="40">
        <v>45652</v>
      </c>
      <c r="K103" s="40">
        <v>45742</v>
      </c>
      <c r="L103" s="39" t="s">
        <v>1016</v>
      </c>
      <c r="M103" s="39" t="s">
        <v>342</v>
      </c>
      <c r="N103" s="39" t="s">
        <v>1017</v>
      </c>
      <c r="O103" s="15" t="str">
        <f t="shared" si="11"/>
        <v>Valid</v>
      </c>
      <c r="P103" s="39" t="s">
        <v>1018</v>
      </c>
      <c r="Q103" s="48" t="s">
        <v>1019</v>
      </c>
      <c r="R103" s="76" t="s">
        <v>1020</v>
      </c>
      <c r="S103" s="49">
        <v>35436</v>
      </c>
      <c r="T103" s="48" t="s">
        <v>1021</v>
      </c>
      <c r="U103" s="48" t="s">
        <v>1021</v>
      </c>
      <c r="V103" s="48" t="s">
        <v>1022</v>
      </c>
      <c r="W103" s="39" t="s">
        <v>1023</v>
      </c>
      <c r="X103" s="18">
        <v>45991</v>
      </c>
      <c r="Y103" s="13" t="s">
        <v>44</v>
      </c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</row>
    <row r="104" spans="1:45" ht="26.25" customHeight="1" x14ac:dyDescent="0.25">
      <c r="A104" s="38">
        <v>3</v>
      </c>
      <c r="B104" s="38" t="s">
        <v>1024</v>
      </c>
      <c r="C104" s="39" t="s">
        <v>1025</v>
      </c>
      <c r="D104" s="46" t="s">
        <v>319</v>
      </c>
      <c r="E104" s="39" t="s">
        <v>216</v>
      </c>
      <c r="F104" s="39" t="s">
        <v>216</v>
      </c>
      <c r="G104" s="39" t="s">
        <v>216</v>
      </c>
      <c r="H104" s="57" t="s">
        <v>1026</v>
      </c>
      <c r="I104" s="38" t="s">
        <v>34</v>
      </c>
      <c r="J104" s="40">
        <v>45519</v>
      </c>
      <c r="K104" s="40" t="s">
        <v>79</v>
      </c>
      <c r="L104" s="39" t="s">
        <v>1027</v>
      </c>
      <c r="M104" s="39" t="s">
        <v>1028</v>
      </c>
      <c r="N104" s="39" t="s">
        <v>1029</v>
      </c>
      <c r="O104" s="15" t="str">
        <f t="shared" si="11"/>
        <v>Valid</v>
      </c>
      <c r="P104" s="45">
        <v>3449068897</v>
      </c>
      <c r="Q104" s="46" t="s">
        <v>1030</v>
      </c>
      <c r="R104" s="83">
        <v>3216164712</v>
      </c>
      <c r="S104" s="45" t="s">
        <v>1031</v>
      </c>
      <c r="T104" s="46" t="s">
        <v>1032</v>
      </c>
      <c r="U104" s="46" t="s">
        <v>1033</v>
      </c>
      <c r="V104" s="46" t="s">
        <v>1034</v>
      </c>
      <c r="W104" s="39"/>
      <c r="X104" s="18">
        <v>45991</v>
      </c>
      <c r="Y104" s="13" t="s">
        <v>44</v>
      </c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</row>
    <row r="105" spans="1:45" ht="26.25" customHeight="1" x14ac:dyDescent="0.25">
      <c r="A105" s="38">
        <v>4</v>
      </c>
      <c r="B105" s="38" t="s">
        <v>1035</v>
      </c>
      <c r="C105" s="39" t="s">
        <v>1036</v>
      </c>
      <c r="D105" s="48" t="s">
        <v>1037</v>
      </c>
      <c r="E105" s="72" t="s">
        <v>171</v>
      </c>
      <c r="F105" s="73" t="s">
        <v>172</v>
      </c>
      <c r="G105" s="73" t="s">
        <v>1038</v>
      </c>
      <c r="H105" s="74" t="s">
        <v>1039</v>
      </c>
      <c r="I105" s="38" t="s">
        <v>34</v>
      </c>
      <c r="J105" s="40">
        <v>45587</v>
      </c>
      <c r="K105" s="40">
        <v>45679</v>
      </c>
      <c r="L105" s="39" t="s">
        <v>1040</v>
      </c>
      <c r="M105" s="39" t="s">
        <v>64</v>
      </c>
      <c r="N105" s="39" t="s">
        <v>1041</v>
      </c>
      <c r="O105" s="15" t="str">
        <f t="shared" si="11"/>
        <v>Valid</v>
      </c>
      <c r="P105" s="39" t="s">
        <v>1042</v>
      </c>
      <c r="Q105" s="48" t="s">
        <v>1043</v>
      </c>
      <c r="R105" s="76" t="s">
        <v>1044</v>
      </c>
      <c r="S105" s="49">
        <v>32198</v>
      </c>
      <c r="T105" s="48" t="s">
        <v>1045</v>
      </c>
      <c r="U105" s="48" t="s">
        <v>1046</v>
      </c>
      <c r="V105" s="48" t="s">
        <v>1047</v>
      </c>
      <c r="W105" s="39" t="s">
        <v>203</v>
      </c>
      <c r="X105" s="18">
        <v>45991</v>
      </c>
      <c r="Y105" s="13" t="s">
        <v>44</v>
      </c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</row>
    <row r="106" spans="1:45" ht="26.25" customHeight="1" x14ac:dyDescent="0.25">
      <c r="A106" s="38">
        <v>5</v>
      </c>
      <c r="B106" s="38" t="s">
        <v>1048</v>
      </c>
      <c r="C106" s="39" t="s">
        <v>1049</v>
      </c>
      <c r="D106" s="39" t="s">
        <v>1050</v>
      </c>
      <c r="E106" s="72" t="s">
        <v>1051</v>
      </c>
      <c r="F106" s="73" t="s">
        <v>1052</v>
      </c>
      <c r="G106" s="73" t="s">
        <v>879</v>
      </c>
      <c r="H106" s="74" t="s">
        <v>1053</v>
      </c>
      <c r="I106" s="44" t="s">
        <v>62</v>
      </c>
      <c r="J106" s="40">
        <v>45908</v>
      </c>
      <c r="K106" s="40">
        <v>45999</v>
      </c>
      <c r="L106" s="40" t="s">
        <v>1054</v>
      </c>
      <c r="M106" s="39" t="s">
        <v>929</v>
      </c>
      <c r="N106" s="39" t="s">
        <v>1055</v>
      </c>
      <c r="O106" s="15" t="str">
        <f t="shared" si="11"/>
        <v>Valid</v>
      </c>
      <c r="P106" s="45">
        <v>3343357894</v>
      </c>
      <c r="Q106" s="47" t="s">
        <v>1056</v>
      </c>
      <c r="R106" s="76">
        <f>923315556447</f>
        <v>923315556447</v>
      </c>
      <c r="S106" s="49">
        <v>34523</v>
      </c>
      <c r="T106" s="49" t="s">
        <v>1057</v>
      </c>
      <c r="U106" s="48" t="s">
        <v>1057</v>
      </c>
      <c r="V106" s="48" t="s">
        <v>1058</v>
      </c>
      <c r="W106" s="39" t="s">
        <v>43</v>
      </c>
      <c r="X106" s="18">
        <v>45991</v>
      </c>
      <c r="Y106" s="13" t="s">
        <v>44</v>
      </c>
      <c r="Z106" s="61" t="s">
        <v>1059</v>
      </c>
      <c r="AA106" s="61" t="s">
        <v>1060</v>
      </c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</row>
    <row r="107" spans="1:45" ht="26.25" customHeight="1" x14ac:dyDescent="0.25">
      <c r="A107" s="38">
        <v>6</v>
      </c>
      <c r="B107" s="38" t="s">
        <v>1061</v>
      </c>
      <c r="C107" s="39" t="s">
        <v>1062</v>
      </c>
      <c r="D107" s="39" t="s">
        <v>1063</v>
      </c>
      <c r="E107" s="73" t="s">
        <v>1064</v>
      </c>
      <c r="F107" s="73" t="s">
        <v>820</v>
      </c>
      <c r="G107" s="73" t="s">
        <v>1064</v>
      </c>
      <c r="H107" s="74" t="s">
        <v>1065</v>
      </c>
      <c r="I107" s="66" t="s">
        <v>34</v>
      </c>
      <c r="J107" s="40">
        <v>45841</v>
      </c>
      <c r="K107" s="40">
        <v>45933</v>
      </c>
      <c r="L107" s="40" t="s">
        <v>1066</v>
      </c>
      <c r="M107" s="39" t="s">
        <v>64</v>
      </c>
      <c r="N107" s="39" t="s">
        <v>1067</v>
      </c>
      <c r="O107" s="15" t="str">
        <f t="shared" si="11"/>
        <v>Valid</v>
      </c>
      <c r="P107" s="45" t="s">
        <v>1068</v>
      </c>
      <c r="Q107" s="47" t="s">
        <v>1069</v>
      </c>
      <c r="R107" s="76">
        <v>3005361112</v>
      </c>
      <c r="S107" s="49">
        <v>31778</v>
      </c>
      <c r="T107" s="49"/>
      <c r="U107" s="48"/>
      <c r="V107" s="48" t="s">
        <v>1070</v>
      </c>
      <c r="W107" s="48" t="s">
        <v>1023</v>
      </c>
      <c r="X107" s="18">
        <v>45991</v>
      </c>
      <c r="Y107" s="13" t="s">
        <v>44</v>
      </c>
      <c r="Z107" s="61" t="s">
        <v>1071</v>
      </c>
      <c r="AA107" s="61">
        <v>3349003849</v>
      </c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</row>
    <row r="108" spans="1:45" ht="26.25" customHeight="1" thickBot="1" x14ac:dyDescent="0.3">
      <c r="A108" s="38"/>
      <c r="B108" s="38"/>
      <c r="C108" s="39"/>
      <c r="D108" s="39"/>
      <c r="E108" s="72"/>
      <c r="F108" s="73"/>
      <c r="G108" s="73"/>
      <c r="H108" s="74"/>
      <c r="I108" s="44"/>
      <c r="J108" s="40"/>
      <c r="K108" s="40"/>
      <c r="L108" s="40"/>
      <c r="M108" s="39"/>
      <c r="N108" s="39"/>
      <c r="O108" s="15"/>
      <c r="P108" s="45"/>
      <c r="Q108" s="47"/>
      <c r="R108" s="76"/>
      <c r="S108" s="49"/>
      <c r="T108" s="49"/>
      <c r="U108" s="48"/>
      <c r="V108" s="48"/>
      <c r="W108" s="39"/>
      <c r="X108" s="18"/>
      <c r="Y108" s="13"/>
      <c r="Z108" s="61"/>
      <c r="AA108" s="61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</row>
    <row r="109" spans="1:45" ht="15.75" customHeight="1" thickBot="1" x14ac:dyDescent="0.6">
      <c r="A109" s="8">
        <v>45992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</row>
    <row r="110" spans="1:45" ht="26.25" customHeight="1" x14ac:dyDescent="0.25">
      <c r="A110" s="38">
        <v>1</v>
      </c>
      <c r="B110" s="38" t="s">
        <v>1072</v>
      </c>
      <c r="C110" s="39" t="s">
        <v>1073</v>
      </c>
      <c r="D110" s="39" t="s">
        <v>1074</v>
      </c>
      <c r="E110" s="73"/>
      <c r="F110" s="73"/>
      <c r="G110" s="73" t="s">
        <v>1075</v>
      </c>
      <c r="H110" s="74" t="s">
        <v>1076</v>
      </c>
      <c r="I110" s="44" t="s">
        <v>62</v>
      </c>
      <c r="J110" s="40">
        <v>45901</v>
      </c>
      <c r="K110" s="40">
        <v>45992</v>
      </c>
      <c r="L110" s="40" t="s">
        <v>1077</v>
      </c>
      <c r="M110" s="39" t="s">
        <v>929</v>
      </c>
      <c r="N110" s="39" t="s">
        <v>1078</v>
      </c>
      <c r="O110" s="15" t="str">
        <f t="shared" ref="O110:O121" si="12">IF(LEN(N110)=24, "Valid", "Invalid - Must be 24 digits")</f>
        <v>Valid</v>
      </c>
      <c r="P110" s="45">
        <v>3345464766</v>
      </c>
      <c r="Q110" s="47" t="s">
        <v>1079</v>
      </c>
      <c r="R110" s="76" t="s">
        <v>1080</v>
      </c>
      <c r="S110" s="49">
        <v>37936</v>
      </c>
      <c r="T110" s="49" t="s">
        <v>1081</v>
      </c>
      <c r="U110" s="48" t="s">
        <v>1081</v>
      </c>
      <c r="V110" s="48" t="s">
        <v>1082</v>
      </c>
      <c r="W110" s="39" t="s">
        <v>114</v>
      </c>
      <c r="X110" s="18">
        <v>46000</v>
      </c>
      <c r="Y110" s="13" t="s">
        <v>349</v>
      </c>
      <c r="Z110" s="61" t="s">
        <v>1083</v>
      </c>
      <c r="AA110" s="61" t="s">
        <v>1084</v>
      </c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</row>
    <row r="111" spans="1:45" ht="26.25" customHeight="1" x14ac:dyDescent="0.25">
      <c r="A111" s="38">
        <v>2</v>
      </c>
      <c r="B111" s="38" t="s">
        <v>1085</v>
      </c>
      <c r="C111" s="39" t="s">
        <v>1086</v>
      </c>
      <c r="D111" s="39" t="s">
        <v>1087</v>
      </c>
      <c r="E111" s="72" t="s">
        <v>1088</v>
      </c>
      <c r="F111" s="73" t="s">
        <v>1052</v>
      </c>
      <c r="G111" s="73" t="s">
        <v>229</v>
      </c>
      <c r="H111" s="74" t="s">
        <v>1089</v>
      </c>
      <c r="I111" s="44" t="s">
        <v>62</v>
      </c>
      <c r="J111" s="40">
        <v>45908</v>
      </c>
      <c r="K111" s="40">
        <v>45999</v>
      </c>
      <c r="L111" s="40" t="s">
        <v>1090</v>
      </c>
      <c r="M111" s="39" t="s">
        <v>64</v>
      </c>
      <c r="N111" s="39" t="s">
        <v>1091</v>
      </c>
      <c r="O111" s="15" t="str">
        <f t="shared" si="12"/>
        <v>Valid</v>
      </c>
      <c r="P111" s="45">
        <v>3191995979</v>
      </c>
      <c r="Q111" s="47" t="s">
        <v>1092</v>
      </c>
      <c r="R111" s="76">
        <v>3168708869</v>
      </c>
      <c r="S111" s="49">
        <v>37854</v>
      </c>
      <c r="T111" s="49" t="s">
        <v>1093</v>
      </c>
      <c r="U111" s="48" t="s">
        <v>1094</v>
      </c>
      <c r="V111" s="48" t="s">
        <v>1034</v>
      </c>
      <c r="W111" s="39" t="s">
        <v>203</v>
      </c>
      <c r="X111" s="18">
        <v>46008</v>
      </c>
      <c r="Y111" s="13" t="s">
        <v>44</v>
      </c>
      <c r="Z111" s="61" t="s">
        <v>1095</v>
      </c>
      <c r="AA111" s="61" t="s">
        <v>1096</v>
      </c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</row>
    <row r="112" spans="1:45" ht="26.25" customHeight="1" x14ac:dyDescent="0.25">
      <c r="A112" s="38">
        <v>3</v>
      </c>
      <c r="B112" s="38" t="s">
        <v>1097</v>
      </c>
      <c r="C112" s="39" t="s">
        <v>1098</v>
      </c>
      <c r="D112" s="39" t="s">
        <v>1099</v>
      </c>
      <c r="E112" s="39" t="s">
        <v>774</v>
      </c>
      <c r="F112" s="39" t="s">
        <v>31</v>
      </c>
      <c r="G112" s="73" t="s">
        <v>1100</v>
      </c>
      <c r="H112" s="74" t="s">
        <v>1101</v>
      </c>
      <c r="I112" s="44" t="s">
        <v>62</v>
      </c>
      <c r="J112" s="40">
        <v>45931</v>
      </c>
      <c r="K112" s="40">
        <v>46023</v>
      </c>
      <c r="L112" s="40" t="s">
        <v>1102</v>
      </c>
      <c r="M112" s="39" t="s">
        <v>1103</v>
      </c>
      <c r="N112" s="39" t="s">
        <v>1104</v>
      </c>
      <c r="O112" s="15" t="str">
        <f t="shared" si="12"/>
        <v>Valid</v>
      </c>
      <c r="P112" s="45">
        <v>3008381168</v>
      </c>
      <c r="Q112" s="47" t="s">
        <v>1105</v>
      </c>
      <c r="R112" s="76">
        <v>3008381168</v>
      </c>
      <c r="S112" s="49">
        <v>34950</v>
      </c>
      <c r="T112" s="49" t="s">
        <v>1106</v>
      </c>
      <c r="U112" s="48" t="s">
        <v>1106</v>
      </c>
      <c r="V112" s="48" t="s">
        <v>1107</v>
      </c>
      <c r="W112" s="39" t="s">
        <v>225</v>
      </c>
      <c r="X112" s="18">
        <v>45991</v>
      </c>
      <c r="Y112" s="13" t="s">
        <v>44</v>
      </c>
      <c r="Z112" s="61" t="s">
        <v>1108</v>
      </c>
      <c r="AA112" s="61" t="s">
        <v>1109</v>
      </c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</row>
    <row r="113" spans="1:45" ht="26.25" customHeight="1" x14ac:dyDescent="0.25">
      <c r="A113" s="38">
        <v>4</v>
      </c>
      <c r="B113" s="38" t="s">
        <v>1110</v>
      </c>
      <c r="C113" s="39" t="s">
        <v>1111</v>
      </c>
      <c r="D113" s="48" t="s">
        <v>1112</v>
      </c>
      <c r="E113" s="72" t="s">
        <v>171</v>
      </c>
      <c r="F113" s="73" t="s">
        <v>172</v>
      </c>
      <c r="G113" s="73" t="s">
        <v>173</v>
      </c>
      <c r="H113" s="74" t="s">
        <v>94</v>
      </c>
      <c r="I113" s="38" t="s">
        <v>34</v>
      </c>
      <c r="J113" s="40">
        <v>45350</v>
      </c>
      <c r="K113" s="40" t="s">
        <v>79</v>
      </c>
      <c r="L113" s="39" t="s">
        <v>1113</v>
      </c>
      <c r="M113" s="39" t="s">
        <v>107</v>
      </c>
      <c r="N113" s="39" t="s">
        <v>1114</v>
      </c>
      <c r="O113" s="15" t="str">
        <f t="shared" si="12"/>
        <v>Valid</v>
      </c>
      <c r="P113" s="39" t="s">
        <v>1115</v>
      </c>
      <c r="Q113" s="48" t="s">
        <v>1116</v>
      </c>
      <c r="R113" s="76" t="s">
        <v>1117</v>
      </c>
      <c r="S113" s="49">
        <v>33727</v>
      </c>
      <c r="T113" s="48" t="s">
        <v>1118</v>
      </c>
      <c r="U113" s="48" t="s">
        <v>1119</v>
      </c>
      <c r="V113" s="48" t="s">
        <v>1120</v>
      </c>
      <c r="W113" s="39"/>
      <c r="X113" s="18">
        <v>46021</v>
      </c>
      <c r="Y113" s="13" t="s">
        <v>44</v>
      </c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</row>
    <row r="114" spans="1:45" ht="26.25" customHeight="1" x14ac:dyDescent="0.25">
      <c r="A114" s="38">
        <v>5</v>
      </c>
      <c r="B114" s="38" t="s">
        <v>1121</v>
      </c>
      <c r="C114" s="39" t="s">
        <v>1122</v>
      </c>
      <c r="D114" s="39" t="s">
        <v>1123</v>
      </c>
      <c r="E114" s="72" t="s">
        <v>171</v>
      </c>
      <c r="F114" s="73" t="s">
        <v>92</v>
      </c>
      <c r="G114" s="73" t="s">
        <v>1124</v>
      </c>
      <c r="H114" s="74" t="s">
        <v>94</v>
      </c>
      <c r="I114" s="38" t="s">
        <v>34</v>
      </c>
      <c r="J114" s="40">
        <v>45586</v>
      </c>
      <c r="K114" s="40">
        <v>45687</v>
      </c>
      <c r="L114" s="39" t="s">
        <v>1125</v>
      </c>
      <c r="M114" s="39" t="s">
        <v>1028</v>
      </c>
      <c r="N114" s="39" t="s">
        <v>1126</v>
      </c>
      <c r="O114" s="15" t="str">
        <f t="shared" si="12"/>
        <v>Valid</v>
      </c>
      <c r="P114" s="39">
        <v>3367204435</v>
      </c>
      <c r="Q114" s="84" t="s">
        <v>1127</v>
      </c>
      <c r="R114" s="76" t="s">
        <v>1128</v>
      </c>
      <c r="S114" s="49">
        <v>38287</v>
      </c>
      <c r="T114" s="39" t="s">
        <v>1129</v>
      </c>
      <c r="U114" s="39" t="s">
        <v>1130</v>
      </c>
      <c r="V114" s="38" t="s">
        <v>1131</v>
      </c>
      <c r="W114" s="39" t="s">
        <v>203</v>
      </c>
      <c r="X114" s="18">
        <v>46021</v>
      </c>
      <c r="Y114" s="13" t="s">
        <v>44</v>
      </c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</row>
    <row r="115" spans="1:45" ht="26.25" customHeight="1" x14ac:dyDescent="0.25">
      <c r="A115" s="38">
        <v>6</v>
      </c>
      <c r="B115" s="38" t="s">
        <v>1132</v>
      </c>
      <c r="C115" s="39" t="s">
        <v>1133</v>
      </c>
      <c r="D115" s="48" t="s">
        <v>1134</v>
      </c>
      <c r="E115" s="72" t="s">
        <v>1135</v>
      </c>
      <c r="F115" s="73" t="s">
        <v>865</v>
      </c>
      <c r="G115" s="73" t="s">
        <v>339</v>
      </c>
      <c r="H115" s="74" t="s">
        <v>134</v>
      </c>
      <c r="I115" s="38" t="s">
        <v>34</v>
      </c>
      <c r="J115" s="40">
        <v>45505</v>
      </c>
      <c r="K115" s="40" t="s">
        <v>79</v>
      </c>
      <c r="L115" s="39" t="s">
        <v>1136</v>
      </c>
      <c r="M115" s="39" t="s">
        <v>1137</v>
      </c>
      <c r="N115" s="39" t="s">
        <v>1138</v>
      </c>
      <c r="O115" s="15" t="str">
        <f t="shared" si="12"/>
        <v>Valid</v>
      </c>
      <c r="P115" s="39" t="s">
        <v>1139</v>
      </c>
      <c r="Q115" s="48" t="s">
        <v>1140</v>
      </c>
      <c r="R115" s="76" t="s">
        <v>1141</v>
      </c>
      <c r="S115" s="49">
        <v>37270</v>
      </c>
      <c r="T115" s="48" t="s">
        <v>1142</v>
      </c>
      <c r="U115" s="48" t="s">
        <v>1142</v>
      </c>
      <c r="V115" s="48" t="s">
        <v>1143</v>
      </c>
      <c r="W115" s="39" t="s">
        <v>114</v>
      </c>
      <c r="X115" s="18">
        <v>46022</v>
      </c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</row>
    <row r="116" spans="1:45" ht="26.25" customHeight="1" x14ac:dyDescent="0.25">
      <c r="A116" s="38">
        <v>7</v>
      </c>
      <c r="B116" s="38" t="s">
        <v>1144</v>
      </c>
      <c r="C116" s="39" t="s">
        <v>1145</v>
      </c>
      <c r="D116" s="39" t="s">
        <v>1146</v>
      </c>
      <c r="E116" s="73" t="s">
        <v>1147</v>
      </c>
      <c r="F116" s="73" t="s">
        <v>172</v>
      </c>
      <c r="G116" s="73" t="s">
        <v>1147</v>
      </c>
      <c r="H116" s="74" t="s">
        <v>1148</v>
      </c>
      <c r="I116" s="44" t="s">
        <v>62</v>
      </c>
      <c r="J116" s="40">
        <v>45986</v>
      </c>
      <c r="K116" s="40">
        <v>46078</v>
      </c>
      <c r="L116" s="39" t="s">
        <v>1149</v>
      </c>
      <c r="M116" s="39" t="s">
        <v>64</v>
      </c>
      <c r="N116" s="39" t="s">
        <v>1150</v>
      </c>
      <c r="O116" s="15" t="str">
        <f t="shared" si="12"/>
        <v>Valid</v>
      </c>
      <c r="P116" s="45">
        <v>3135012511</v>
      </c>
      <c r="Q116" s="47" t="s">
        <v>1151</v>
      </c>
      <c r="R116" s="76" t="s">
        <v>1152</v>
      </c>
      <c r="S116" s="49">
        <v>36892</v>
      </c>
      <c r="T116" s="49" t="s">
        <v>1153</v>
      </c>
      <c r="U116" s="48" t="s">
        <v>1153</v>
      </c>
      <c r="V116" s="48" t="s">
        <v>1154</v>
      </c>
      <c r="W116" s="39" t="s">
        <v>203</v>
      </c>
      <c r="Z116" s="61" t="s">
        <v>1155</v>
      </c>
      <c r="AA116" s="61" t="s">
        <v>1156</v>
      </c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</row>
    <row r="117" spans="1:45" ht="26.25" customHeight="1" x14ac:dyDescent="0.25">
      <c r="A117" s="38">
        <v>8</v>
      </c>
      <c r="B117" s="38" t="s">
        <v>1157</v>
      </c>
      <c r="C117" s="85" t="s">
        <v>1158</v>
      </c>
      <c r="D117" s="48" t="s">
        <v>1159</v>
      </c>
      <c r="E117" s="72" t="s">
        <v>1135</v>
      </c>
      <c r="F117" s="73" t="s">
        <v>1160</v>
      </c>
      <c r="G117" s="73" t="s">
        <v>339</v>
      </c>
      <c r="H117" s="74" t="s">
        <v>134</v>
      </c>
      <c r="I117" s="38" t="s">
        <v>34</v>
      </c>
      <c r="J117" s="40">
        <v>45572</v>
      </c>
      <c r="K117" s="40">
        <v>45664</v>
      </c>
      <c r="L117" s="39" t="s">
        <v>1161</v>
      </c>
      <c r="M117" s="39" t="s">
        <v>243</v>
      </c>
      <c r="N117" s="39" t="s">
        <v>1162</v>
      </c>
      <c r="O117" s="15" t="str">
        <f t="shared" si="12"/>
        <v>Valid</v>
      </c>
      <c r="P117" s="39" t="s">
        <v>1163</v>
      </c>
      <c r="Q117" s="48" t="s">
        <v>1164</v>
      </c>
      <c r="R117" s="76" t="s">
        <v>1165</v>
      </c>
      <c r="S117" s="49">
        <v>34140</v>
      </c>
      <c r="T117" s="48" t="s">
        <v>1166</v>
      </c>
      <c r="U117" s="48" t="s">
        <v>1166</v>
      </c>
      <c r="V117" s="48" t="s">
        <v>1167</v>
      </c>
      <c r="W117" s="39" t="s">
        <v>114</v>
      </c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</row>
    <row r="118" spans="1:45" ht="26.25" customHeight="1" x14ac:dyDescent="0.25">
      <c r="A118" s="38">
        <v>9</v>
      </c>
      <c r="B118" s="38" t="s">
        <v>1168</v>
      </c>
      <c r="C118" s="85" t="s">
        <v>1169</v>
      </c>
      <c r="D118" s="39" t="s">
        <v>1170</v>
      </c>
      <c r="E118" s="72" t="s">
        <v>1171</v>
      </c>
      <c r="F118" s="73"/>
      <c r="G118" s="73" t="s">
        <v>229</v>
      </c>
      <c r="H118" s="44" t="s">
        <v>62</v>
      </c>
      <c r="I118" s="66" t="s">
        <v>34</v>
      </c>
      <c r="J118" s="40">
        <v>45841</v>
      </c>
      <c r="K118" s="40">
        <v>45933</v>
      </c>
      <c r="L118" s="40" t="s">
        <v>1172</v>
      </c>
      <c r="M118" s="39" t="s">
        <v>929</v>
      </c>
      <c r="N118" s="39" t="s">
        <v>1173</v>
      </c>
      <c r="O118" s="15" t="str">
        <f t="shared" si="12"/>
        <v>Valid</v>
      </c>
      <c r="P118" s="45">
        <v>3065653946</v>
      </c>
      <c r="Q118" s="47" t="s">
        <v>1174</v>
      </c>
      <c r="R118" s="76"/>
      <c r="S118" s="49">
        <v>37439</v>
      </c>
      <c r="T118" s="49" t="s">
        <v>1175</v>
      </c>
      <c r="U118" s="48" t="s">
        <v>1175</v>
      </c>
      <c r="V118" s="48" t="s">
        <v>1176</v>
      </c>
      <c r="W118" s="48" t="s">
        <v>203</v>
      </c>
      <c r="X118" s="18">
        <v>46022</v>
      </c>
      <c r="Y118" s="13" t="s">
        <v>349</v>
      </c>
      <c r="Z118" s="61" t="s">
        <v>1177</v>
      </c>
      <c r="AA118" s="61" t="s">
        <v>1178</v>
      </c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</row>
    <row r="119" spans="1:45" ht="26.25" customHeight="1" x14ac:dyDescent="0.25">
      <c r="A119" s="38">
        <v>10</v>
      </c>
      <c r="B119" s="38" t="s">
        <v>1179</v>
      </c>
      <c r="C119" s="85" t="s">
        <v>1180</v>
      </c>
      <c r="D119" s="62" t="s">
        <v>1181</v>
      </c>
      <c r="E119" s="72" t="s">
        <v>856</v>
      </c>
      <c r="F119" s="73" t="s">
        <v>172</v>
      </c>
      <c r="G119" s="73" t="s">
        <v>173</v>
      </c>
      <c r="H119" s="74" t="s">
        <v>1182</v>
      </c>
      <c r="I119" s="38" t="s">
        <v>34</v>
      </c>
      <c r="J119" s="40">
        <v>45313</v>
      </c>
      <c r="K119" s="40" t="s">
        <v>79</v>
      </c>
      <c r="L119" s="39" t="s">
        <v>1183</v>
      </c>
      <c r="M119" s="39" t="s">
        <v>81</v>
      </c>
      <c r="N119" s="39" t="s">
        <v>1184</v>
      </c>
      <c r="O119" s="15" t="str">
        <f t="shared" si="12"/>
        <v>Valid</v>
      </c>
      <c r="P119" s="62">
        <v>3177014744</v>
      </c>
      <c r="Q119" s="62" t="s">
        <v>1185</v>
      </c>
      <c r="R119" s="81">
        <v>3007918089</v>
      </c>
      <c r="S119" s="42">
        <v>36527</v>
      </c>
      <c r="T119" s="62" t="s">
        <v>1186</v>
      </c>
      <c r="U119" s="62"/>
      <c r="V119" s="62" t="s">
        <v>146</v>
      </c>
      <c r="W119" s="39" t="s">
        <v>203</v>
      </c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</row>
    <row r="120" spans="1:45" ht="26.25" customHeight="1" x14ac:dyDescent="0.25">
      <c r="A120" s="86">
        <v>87</v>
      </c>
      <c r="B120" s="86">
        <v>280</v>
      </c>
      <c r="C120" s="87" t="s">
        <v>1187</v>
      </c>
      <c r="D120" s="87" t="s">
        <v>1188</v>
      </c>
      <c r="E120" s="88" t="s">
        <v>1101</v>
      </c>
      <c r="F120" s="89"/>
      <c r="G120" s="89" t="s">
        <v>1075</v>
      </c>
      <c r="H120" s="90" t="s">
        <v>1189</v>
      </c>
      <c r="I120" s="86" t="s">
        <v>34</v>
      </c>
      <c r="J120" s="91">
        <v>45832</v>
      </c>
      <c r="K120" s="91">
        <v>45924</v>
      </c>
      <c r="L120" s="87" t="s">
        <v>1190</v>
      </c>
      <c r="M120" s="87" t="s">
        <v>929</v>
      </c>
      <c r="N120" s="87" t="s">
        <v>1191</v>
      </c>
      <c r="O120" s="92" t="str">
        <f t="shared" si="12"/>
        <v>Valid</v>
      </c>
      <c r="P120" s="87">
        <v>3008033177</v>
      </c>
      <c r="Q120" s="93" t="s">
        <v>1192</v>
      </c>
      <c r="R120" s="94"/>
      <c r="S120" s="95">
        <v>37340</v>
      </c>
      <c r="T120" s="95" t="s">
        <v>1193</v>
      </c>
      <c r="U120" s="92" t="s">
        <v>1194</v>
      </c>
      <c r="V120" s="92" t="s">
        <v>1195</v>
      </c>
      <c r="W120" s="92" t="s">
        <v>203</v>
      </c>
      <c r="X120" s="86"/>
      <c r="Y120" s="8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</row>
    <row r="121" spans="1:45" ht="26.25" customHeight="1" thickBot="1" x14ac:dyDescent="0.3">
      <c r="A121" s="38">
        <v>11</v>
      </c>
      <c r="B121" s="38" t="s">
        <v>1196</v>
      </c>
      <c r="C121" s="39" t="s">
        <v>1197</v>
      </c>
      <c r="D121" s="39" t="s">
        <v>79</v>
      </c>
      <c r="E121" s="39" t="s">
        <v>774</v>
      </c>
      <c r="F121" s="39" t="s">
        <v>31</v>
      </c>
      <c r="G121" s="39" t="s">
        <v>1014</v>
      </c>
      <c r="H121" s="38" t="s">
        <v>79</v>
      </c>
      <c r="I121" s="38" t="s">
        <v>34</v>
      </c>
      <c r="J121" s="40" t="s">
        <v>79</v>
      </c>
      <c r="K121" s="40" t="s">
        <v>79</v>
      </c>
      <c r="L121" s="39" t="s">
        <v>1198</v>
      </c>
      <c r="M121" s="39" t="s">
        <v>81</v>
      </c>
      <c r="N121" s="39" t="s">
        <v>1199</v>
      </c>
      <c r="O121" s="15" t="str">
        <f t="shared" si="12"/>
        <v>Valid</v>
      </c>
      <c r="P121" s="38" t="s">
        <v>79</v>
      </c>
      <c r="Q121" s="38" t="s">
        <v>79</v>
      </c>
      <c r="R121" s="76" t="s">
        <v>79</v>
      </c>
      <c r="S121" s="38" t="s">
        <v>79</v>
      </c>
      <c r="T121" s="38" t="s">
        <v>79</v>
      </c>
      <c r="U121" s="38" t="s">
        <v>79</v>
      </c>
      <c r="V121" s="38" t="s">
        <v>79</v>
      </c>
      <c r="W121" s="39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</row>
    <row r="122" spans="1:45" ht="15.75" customHeight="1" thickBot="1" x14ac:dyDescent="0.6">
      <c r="A122" s="8">
        <v>46023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</row>
    <row r="123" spans="1:45" ht="26.25" customHeight="1" x14ac:dyDescent="0.25">
      <c r="A123" s="38">
        <v>1</v>
      </c>
      <c r="B123" s="38" t="s">
        <v>1200</v>
      </c>
      <c r="C123" s="39" t="s">
        <v>1201</v>
      </c>
      <c r="D123" s="39" t="s">
        <v>1202</v>
      </c>
      <c r="E123" s="97" t="s">
        <v>1203</v>
      </c>
      <c r="F123" s="97" t="s">
        <v>1204</v>
      </c>
      <c r="G123" s="73" t="s">
        <v>619</v>
      </c>
      <c r="H123" s="74" t="s">
        <v>1205</v>
      </c>
      <c r="I123" s="44" t="s">
        <v>62</v>
      </c>
      <c r="J123" s="40">
        <v>46034</v>
      </c>
      <c r="K123" s="40">
        <v>46124</v>
      </c>
      <c r="L123" s="39" t="s">
        <v>1206</v>
      </c>
      <c r="M123" s="39" t="s">
        <v>1207</v>
      </c>
      <c r="N123" s="39" t="s">
        <v>1208</v>
      </c>
      <c r="O123" s="15" t="str">
        <f t="shared" ref="O123:O124" si="13">IF(LEN(N123)=24, "Valid", "Invalid - Must be 24 digits")</f>
        <v>Valid</v>
      </c>
      <c r="P123" s="45">
        <v>3135870007</v>
      </c>
      <c r="Q123" s="47" t="s">
        <v>1209</v>
      </c>
      <c r="R123" s="76"/>
      <c r="S123" s="49">
        <v>34157</v>
      </c>
      <c r="T123" s="49" t="s">
        <v>1210</v>
      </c>
      <c r="U123" s="48" t="s">
        <v>1210</v>
      </c>
      <c r="V123" s="48" t="s">
        <v>1211</v>
      </c>
      <c r="W123" s="39" t="s">
        <v>114</v>
      </c>
      <c r="X123" s="18">
        <v>46042</v>
      </c>
      <c r="Y123" s="13" t="s">
        <v>87</v>
      </c>
      <c r="Z123" s="61" t="s">
        <v>1212</v>
      </c>
      <c r="AA123" s="61">
        <v>3059960858</v>
      </c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</row>
    <row r="124" spans="1:45" ht="26.25" customHeight="1" thickBot="1" x14ac:dyDescent="0.3">
      <c r="A124" s="38">
        <v>2</v>
      </c>
      <c r="B124" s="38" t="s">
        <v>1213</v>
      </c>
      <c r="C124" s="39" t="s">
        <v>1214</v>
      </c>
      <c r="D124" s="39" t="s">
        <v>1215</v>
      </c>
      <c r="E124" s="73" t="s">
        <v>1203</v>
      </c>
      <c r="F124" s="73" t="s">
        <v>1204</v>
      </c>
      <c r="G124" s="73" t="s">
        <v>619</v>
      </c>
      <c r="H124" s="74" t="s">
        <v>1205</v>
      </c>
      <c r="I124" s="44" t="s">
        <v>62</v>
      </c>
      <c r="J124" s="40">
        <v>46034</v>
      </c>
      <c r="K124" s="40">
        <v>46124</v>
      </c>
      <c r="L124" s="39" t="s">
        <v>1216</v>
      </c>
      <c r="M124" s="39" t="s">
        <v>1217</v>
      </c>
      <c r="N124" s="39" t="s">
        <v>1218</v>
      </c>
      <c r="O124" s="15" t="str">
        <f t="shared" si="13"/>
        <v>Valid</v>
      </c>
      <c r="P124" s="45" t="s">
        <v>1219</v>
      </c>
      <c r="Q124" s="47" t="s">
        <v>1220</v>
      </c>
      <c r="R124" s="76" t="s">
        <v>1221</v>
      </c>
      <c r="S124" s="49">
        <v>37142</v>
      </c>
      <c r="T124" s="49" t="s">
        <v>1222</v>
      </c>
      <c r="U124" s="48" t="s">
        <v>1223</v>
      </c>
      <c r="V124" s="48" t="s">
        <v>1224</v>
      </c>
      <c r="W124" s="39" t="s">
        <v>203</v>
      </c>
      <c r="X124" s="18">
        <v>46045</v>
      </c>
      <c r="Y124" s="13" t="s">
        <v>87</v>
      </c>
      <c r="Z124" s="61" t="s">
        <v>1225</v>
      </c>
      <c r="AA124" s="61" t="s">
        <v>79</v>
      </c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</row>
    <row r="125" spans="1:45" ht="15.75" customHeight="1" thickBot="1" x14ac:dyDescent="0.6">
      <c r="A125" s="8">
        <v>46054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</row>
    <row r="126" spans="1:45" ht="26.25" customHeight="1" x14ac:dyDescent="0.25">
      <c r="A126" s="38">
        <v>1</v>
      </c>
      <c r="B126" s="38" t="s">
        <v>1226</v>
      </c>
      <c r="C126" s="39" t="s">
        <v>1227</v>
      </c>
      <c r="D126" s="48" t="s">
        <v>1228</v>
      </c>
      <c r="E126" s="72" t="s">
        <v>421</v>
      </c>
      <c r="F126" s="73" t="s">
        <v>172</v>
      </c>
      <c r="G126" s="73" t="s">
        <v>1229</v>
      </c>
      <c r="H126" s="74" t="s">
        <v>1230</v>
      </c>
      <c r="I126" s="38" t="s">
        <v>34</v>
      </c>
      <c r="J126" s="40">
        <v>45510</v>
      </c>
      <c r="K126" s="40" t="s">
        <v>79</v>
      </c>
      <c r="L126" s="39" t="s">
        <v>1231</v>
      </c>
      <c r="M126" s="39" t="s">
        <v>81</v>
      </c>
      <c r="N126" s="39" t="s">
        <v>1232</v>
      </c>
      <c r="O126" s="15" t="str">
        <f t="shared" ref="O126:O132" si="14">IF(LEN(N126)=24, "Valid", "Invalid - Must be 24 digits")</f>
        <v>Valid</v>
      </c>
      <c r="P126" s="39"/>
      <c r="Q126" s="48" t="s">
        <v>1233</v>
      </c>
      <c r="R126" s="76">
        <v>3335639017</v>
      </c>
      <c r="S126" s="49">
        <v>36064</v>
      </c>
      <c r="T126" s="48" t="s">
        <v>1234</v>
      </c>
      <c r="U126" s="48" t="s">
        <v>1234</v>
      </c>
      <c r="V126" s="48" t="s">
        <v>1235</v>
      </c>
      <c r="W126" s="39" t="s">
        <v>203</v>
      </c>
      <c r="X126" s="18">
        <v>46053</v>
      </c>
      <c r="Y126" s="13" t="s">
        <v>44</v>
      </c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</row>
    <row r="127" spans="1:45" ht="26.25" customHeight="1" x14ac:dyDescent="0.25">
      <c r="A127" s="38">
        <v>2</v>
      </c>
      <c r="B127" s="38" t="s">
        <v>1236</v>
      </c>
      <c r="C127" s="39" t="s">
        <v>1237</v>
      </c>
      <c r="D127" s="39" t="s">
        <v>1238</v>
      </c>
      <c r="E127" s="73" t="s">
        <v>1239</v>
      </c>
      <c r="F127" s="73" t="s">
        <v>1240</v>
      </c>
      <c r="G127" s="73" t="s">
        <v>229</v>
      </c>
      <c r="H127" s="74" t="s">
        <v>1101</v>
      </c>
      <c r="I127" s="44" t="s">
        <v>62</v>
      </c>
      <c r="J127" s="40">
        <v>45994</v>
      </c>
      <c r="K127" s="40">
        <v>46084</v>
      </c>
      <c r="L127" s="39" t="s">
        <v>1241</v>
      </c>
      <c r="M127" s="39" t="s">
        <v>64</v>
      </c>
      <c r="N127" s="39" t="s">
        <v>1242</v>
      </c>
      <c r="O127" s="15" t="str">
        <f t="shared" si="14"/>
        <v>Valid</v>
      </c>
      <c r="P127" s="45" t="s">
        <v>1243</v>
      </c>
      <c r="Q127" s="47" t="s">
        <v>1244</v>
      </c>
      <c r="R127" s="76" t="s">
        <v>1245</v>
      </c>
      <c r="S127" s="49">
        <v>38269</v>
      </c>
      <c r="T127" s="49" t="s">
        <v>1246</v>
      </c>
      <c r="U127" s="48" t="s">
        <v>1247</v>
      </c>
      <c r="V127" s="48" t="s">
        <v>1248</v>
      </c>
      <c r="W127" s="39" t="s">
        <v>114</v>
      </c>
      <c r="X127" s="18">
        <v>46062</v>
      </c>
      <c r="Y127" s="13" t="s">
        <v>1249</v>
      </c>
      <c r="Z127" s="61" t="s">
        <v>1250</v>
      </c>
      <c r="AA127" s="61" t="s">
        <v>79</v>
      </c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</row>
    <row r="128" spans="1:45" ht="26.25" customHeight="1" x14ac:dyDescent="0.25">
      <c r="A128" s="38">
        <v>3</v>
      </c>
      <c r="B128" s="38" t="s">
        <v>1251</v>
      </c>
      <c r="C128" s="39" t="s">
        <v>1252</v>
      </c>
      <c r="D128" s="39" t="s">
        <v>1253</v>
      </c>
      <c r="E128" s="73"/>
      <c r="F128" s="73"/>
      <c r="G128" s="73" t="s">
        <v>229</v>
      </c>
      <c r="H128" s="74" t="s">
        <v>1254</v>
      </c>
      <c r="I128" s="44" t="s">
        <v>62</v>
      </c>
      <c r="J128" s="40">
        <v>46041</v>
      </c>
      <c r="K128" s="40">
        <v>46131</v>
      </c>
      <c r="L128" s="39" t="s">
        <v>1255</v>
      </c>
      <c r="M128" s="39" t="s">
        <v>1256</v>
      </c>
      <c r="N128" s="39" t="s">
        <v>1257</v>
      </c>
      <c r="O128" s="15" t="str">
        <f t="shared" si="14"/>
        <v>Valid</v>
      </c>
      <c r="P128" s="45">
        <v>3009187016</v>
      </c>
      <c r="Q128" s="47" t="s">
        <v>1258</v>
      </c>
      <c r="R128" s="76">
        <v>3455921766</v>
      </c>
      <c r="S128" s="49">
        <v>35829</v>
      </c>
      <c r="T128" s="49" t="s">
        <v>1259</v>
      </c>
      <c r="U128" s="48" t="s">
        <v>1259</v>
      </c>
      <c r="V128" s="48" t="s">
        <v>1034</v>
      </c>
      <c r="W128" s="39" t="s">
        <v>596</v>
      </c>
      <c r="X128" s="18">
        <v>46066</v>
      </c>
      <c r="Y128" s="13" t="s">
        <v>349</v>
      </c>
      <c r="Z128" s="61" t="s">
        <v>1260</v>
      </c>
      <c r="AA128" s="61" t="s">
        <v>1261</v>
      </c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</row>
    <row r="129" spans="1:45" ht="26.25" customHeight="1" x14ac:dyDescent="0.25">
      <c r="A129" s="38">
        <v>4</v>
      </c>
      <c r="B129" s="38" t="s">
        <v>1262</v>
      </c>
      <c r="C129" s="39" t="s">
        <v>1263</v>
      </c>
      <c r="D129" s="39" t="s">
        <v>1264</v>
      </c>
      <c r="E129" s="73" t="s">
        <v>1203</v>
      </c>
      <c r="F129" s="73" t="s">
        <v>1204</v>
      </c>
      <c r="G129" s="73" t="s">
        <v>619</v>
      </c>
      <c r="H129" s="74" t="s">
        <v>1205</v>
      </c>
      <c r="I129" s="44" t="s">
        <v>62</v>
      </c>
      <c r="J129" s="40">
        <v>46034</v>
      </c>
      <c r="K129" s="40">
        <v>46124</v>
      </c>
      <c r="L129" s="39" t="s">
        <v>1265</v>
      </c>
      <c r="M129" s="39" t="s">
        <v>64</v>
      </c>
      <c r="N129" s="39" t="s">
        <v>1266</v>
      </c>
      <c r="O129" s="15" t="str">
        <f t="shared" si="14"/>
        <v>Valid</v>
      </c>
      <c r="P129" s="45">
        <v>3355504259</v>
      </c>
      <c r="Q129" s="47" t="s">
        <v>1267</v>
      </c>
      <c r="R129" s="76">
        <v>3335177200</v>
      </c>
      <c r="S129" s="49">
        <v>38356</v>
      </c>
      <c r="T129" s="49" t="s">
        <v>1268</v>
      </c>
      <c r="U129" s="48" t="s">
        <v>1268</v>
      </c>
      <c r="V129" s="98" t="s">
        <v>1269</v>
      </c>
      <c r="W129" s="39" t="s">
        <v>203</v>
      </c>
      <c r="X129" s="18">
        <v>46066</v>
      </c>
      <c r="Y129" s="13" t="s">
        <v>44</v>
      </c>
      <c r="Z129" s="61" t="s">
        <v>1270</v>
      </c>
      <c r="AA129" s="61" t="s">
        <v>1271</v>
      </c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</row>
    <row r="130" spans="1:45" ht="26.25" customHeight="1" x14ac:dyDescent="0.25">
      <c r="A130" s="38">
        <v>5</v>
      </c>
      <c r="B130" s="38" t="s">
        <v>1272</v>
      </c>
      <c r="C130" s="39" t="s">
        <v>1273</v>
      </c>
      <c r="D130" s="39" t="s">
        <v>1274</v>
      </c>
      <c r="E130" s="73" t="s">
        <v>1203</v>
      </c>
      <c r="F130" s="73" t="s">
        <v>1204</v>
      </c>
      <c r="G130" s="73" t="s">
        <v>619</v>
      </c>
      <c r="H130" s="74" t="s">
        <v>1205</v>
      </c>
      <c r="I130" s="44" t="s">
        <v>62</v>
      </c>
      <c r="J130" s="40">
        <v>46034</v>
      </c>
      <c r="K130" s="40">
        <v>46124</v>
      </c>
      <c r="L130" s="39" t="s">
        <v>1275</v>
      </c>
      <c r="M130" s="39" t="s">
        <v>64</v>
      </c>
      <c r="N130" s="39" t="s">
        <v>1276</v>
      </c>
      <c r="O130" s="15" t="str">
        <f t="shared" si="14"/>
        <v>Valid</v>
      </c>
      <c r="P130" s="45" t="s">
        <v>1277</v>
      </c>
      <c r="Q130" s="47" t="s">
        <v>1278</v>
      </c>
      <c r="R130" s="76">
        <v>3365884642</v>
      </c>
      <c r="S130" s="49">
        <v>37708</v>
      </c>
      <c r="T130" s="49" t="s">
        <v>1279</v>
      </c>
      <c r="U130" s="48" t="s">
        <v>1279</v>
      </c>
      <c r="V130" s="48" t="s">
        <v>665</v>
      </c>
      <c r="W130" s="39" t="s">
        <v>203</v>
      </c>
      <c r="X130" s="18">
        <v>46066</v>
      </c>
      <c r="Y130" s="13" t="s">
        <v>44</v>
      </c>
      <c r="Z130" s="61" t="s">
        <v>1270</v>
      </c>
      <c r="AA130" s="61" t="s">
        <v>1280</v>
      </c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</row>
    <row r="131" spans="1:45" ht="26.25" customHeight="1" x14ac:dyDescent="0.25">
      <c r="A131" s="38">
        <v>6</v>
      </c>
      <c r="B131" s="38" t="s">
        <v>1281</v>
      </c>
      <c r="C131" s="39" t="s">
        <v>1282</v>
      </c>
      <c r="D131" s="39" t="s">
        <v>1283</v>
      </c>
      <c r="E131" s="39" t="s">
        <v>30</v>
      </c>
      <c r="F131" s="39" t="s">
        <v>31</v>
      </c>
      <c r="G131" s="39" t="s">
        <v>299</v>
      </c>
      <c r="H131" s="38" t="s">
        <v>672</v>
      </c>
      <c r="I131" s="38" t="s">
        <v>34</v>
      </c>
      <c r="J131" s="40">
        <v>45100</v>
      </c>
      <c r="K131" s="40" t="s">
        <v>79</v>
      </c>
      <c r="L131" s="39" t="s">
        <v>1284</v>
      </c>
      <c r="M131" s="39" t="s">
        <v>81</v>
      </c>
      <c r="N131" s="39" t="s">
        <v>1285</v>
      </c>
      <c r="O131" s="15" t="str">
        <f t="shared" si="14"/>
        <v>Valid</v>
      </c>
      <c r="P131" s="53" t="s">
        <v>1286</v>
      </c>
      <c r="Q131" s="39" t="s">
        <v>1287</v>
      </c>
      <c r="R131" s="77" t="s">
        <v>1286</v>
      </c>
      <c r="S131" s="55">
        <v>37096</v>
      </c>
      <c r="T131" s="39" t="s">
        <v>1288</v>
      </c>
      <c r="U131" s="39"/>
      <c r="V131" s="39" t="s">
        <v>1289</v>
      </c>
      <c r="W131" s="39"/>
      <c r="X131" s="18">
        <v>46074</v>
      </c>
      <c r="Y131" s="13" t="s">
        <v>44</v>
      </c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</row>
    <row r="132" spans="1:45" ht="26.25" customHeight="1" x14ac:dyDescent="0.25">
      <c r="A132" s="38">
        <v>7</v>
      </c>
      <c r="B132" s="38" t="s">
        <v>1290</v>
      </c>
      <c r="C132" s="67" t="s">
        <v>1291</v>
      </c>
      <c r="D132" s="99" t="s">
        <v>1292</v>
      </c>
      <c r="E132" s="72" t="s">
        <v>774</v>
      </c>
      <c r="F132" s="73" t="s">
        <v>31</v>
      </c>
      <c r="G132" s="73" t="s">
        <v>1293</v>
      </c>
      <c r="H132" s="74" t="s">
        <v>1294</v>
      </c>
      <c r="I132" s="38" t="s">
        <v>34</v>
      </c>
      <c r="J132" s="40">
        <v>45796</v>
      </c>
      <c r="K132" s="40">
        <v>45888</v>
      </c>
      <c r="L132" s="40" t="s">
        <v>1295</v>
      </c>
      <c r="M132" s="39" t="s">
        <v>1296</v>
      </c>
      <c r="N132" s="39" t="s">
        <v>1297</v>
      </c>
      <c r="O132" s="15" t="str">
        <f t="shared" si="14"/>
        <v>Valid</v>
      </c>
      <c r="P132" s="45">
        <v>3115436347</v>
      </c>
      <c r="Q132" s="47" t="s">
        <v>1298</v>
      </c>
      <c r="R132" s="76">
        <v>3365022030</v>
      </c>
      <c r="S132" s="49">
        <v>36088</v>
      </c>
      <c r="T132" s="49" t="s">
        <v>1299</v>
      </c>
      <c r="U132" s="48" t="s">
        <v>1300</v>
      </c>
      <c r="V132" s="48" t="s">
        <v>1301</v>
      </c>
      <c r="W132" s="48" t="s">
        <v>43</v>
      </c>
      <c r="X132" s="61" t="s">
        <v>1302</v>
      </c>
      <c r="Y132" s="61" t="s">
        <v>1303</v>
      </c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</row>
    <row r="133" spans="1:45" ht="15.75" customHeight="1" thickBot="1" x14ac:dyDescent="0.25"/>
    <row r="134" spans="1:45" ht="15.75" customHeight="1" thickBot="1" x14ac:dyDescent="0.6">
      <c r="A134" s="8">
        <v>46082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</row>
    <row r="135" spans="1:45" ht="26.25" customHeight="1" x14ac:dyDescent="0.25">
      <c r="A135" s="38">
        <v>1</v>
      </c>
      <c r="B135" s="38" t="s">
        <v>1304</v>
      </c>
      <c r="C135" s="39" t="s">
        <v>710</v>
      </c>
      <c r="D135" s="39" t="s">
        <v>711</v>
      </c>
      <c r="E135" s="73" t="s">
        <v>1305</v>
      </c>
      <c r="F135" s="73" t="s">
        <v>1306</v>
      </c>
      <c r="G135" s="39" t="s">
        <v>1307</v>
      </c>
      <c r="H135" s="38" t="s">
        <v>300</v>
      </c>
      <c r="I135" s="44" t="s">
        <v>62</v>
      </c>
      <c r="J135" s="40">
        <v>46041</v>
      </c>
      <c r="K135" s="40">
        <v>46131</v>
      </c>
      <c r="L135" s="45" t="s">
        <v>713</v>
      </c>
      <c r="M135" s="39" t="s">
        <v>714</v>
      </c>
      <c r="N135" s="46" t="s">
        <v>715</v>
      </c>
      <c r="O135" s="15" t="str">
        <f t="shared" ref="O135:O144" si="15">IF(LEN(N135)=24, "Valid", "Invalid - Must be 24 digits")</f>
        <v>Valid</v>
      </c>
      <c r="P135" s="47" t="s">
        <v>716</v>
      </c>
      <c r="Q135" s="48" t="s">
        <v>717</v>
      </c>
      <c r="R135" s="76" t="s">
        <v>718</v>
      </c>
      <c r="S135" s="49">
        <v>35231</v>
      </c>
      <c r="T135" s="48" t="s">
        <v>719</v>
      </c>
      <c r="U135" s="48" t="s">
        <v>719</v>
      </c>
      <c r="V135" s="48" t="s">
        <v>720</v>
      </c>
      <c r="W135" s="39" t="s">
        <v>114</v>
      </c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</row>
    <row r="136" spans="1:45" ht="26.25" customHeight="1" x14ac:dyDescent="0.25">
      <c r="A136" s="38">
        <v>2</v>
      </c>
      <c r="B136" s="38" t="s">
        <v>1308</v>
      </c>
      <c r="C136" s="39" t="s">
        <v>1309</v>
      </c>
      <c r="D136" s="39" t="s">
        <v>1310</v>
      </c>
      <c r="E136" s="73" t="s">
        <v>1203</v>
      </c>
      <c r="F136" s="73" t="s">
        <v>1204</v>
      </c>
      <c r="G136" s="73" t="s">
        <v>619</v>
      </c>
      <c r="H136" s="74" t="s">
        <v>1205</v>
      </c>
      <c r="I136" s="44" t="s">
        <v>62</v>
      </c>
      <c r="J136" s="40">
        <v>46034</v>
      </c>
      <c r="K136" s="40">
        <v>46124</v>
      </c>
      <c r="L136" s="39" t="s">
        <v>1311</v>
      </c>
      <c r="M136" s="39" t="s">
        <v>1312</v>
      </c>
      <c r="N136" s="39" t="s">
        <v>1313</v>
      </c>
      <c r="O136" s="15" t="str">
        <f t="shared" si="15"/>
        <v>Valid</v>
      </c>
      <c r="P136" s="45">
        <v>3187503155</v>
      </c>
      <c r="Q136" s="47" t="s">
        <v>1314</v>
      </c>
      <c r="R136" s="76">
        <v>3185596181</v>
      </c>
      <c r="S136" s="49">
        <v>35563</v>
      </c>
      <c r="T136" s="49" t="s">
        <v>1315</v>
      </c>
      <c r="U136" s="48" t="s">
        <v>1316</v>
      </c>
      <c r="V136" s="48" t="s">
        <v>1317</v>
      </c>
      <c r="W136" s="39" t="s">
        <v>1318</v>
      </c>
      <c r="X136" s="18">
        <v>46112</v>
      </c>
      <c r="Y136" s="13" t="s">
        <v>44</v>
      </c>
      <c r="Z136" s="61" t="s">
        <v>79</v>
      </c>
      <c r="AA136" s="61" t="s">
        <v>79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</row>
    <row r="137" spans="1:45" ht="26.25" customHeight="1" x14ac:dyDescent="0.25">
      <c r="A137" s="38">
        <v>3</v>
      </c>
      <c r="B137" s="38" t="s">
        <v>1319</v>
      </c>
      <c r="C137" s="39" t="s">
        <v>1320</v>
      </c>
      <c r="D137" s="39" t="s">
        <v>1321</v>
      </c>
      <c r="E137" s="73" t="s">
        <v>774</v>
      </c>
      <c r="F137" s="73" t="s">
        <v>31</v>
      </c>
      <c r="G137" s="73" t="s">
        <v>1293</v>
      </c>
      <c r="H137" s="74" t="s">
        <v>1322</v>
      </c>
      <c r="I137" s="44" t="s">
        <v>62</v>
      </c>
      <c r="J137" s="40">
        <v>45972</v>
      </c>
      <c r="K137" s="40">
        <v>46064</v>
      </c>
      <c r="L137" s="39" t="s">
        <v>1323</v>
      </c>
      <c r="M137" s="39" t="s">
        <v>1324</v>
      </c>
      <c r="N137" s="39" t="s">
        <v>1325</v>
      </c>
      <c r="O137" s="15" t="str">
        <f t="shared" si="15"/>
        <v>Valid</v>
      </c>
      <c r="P137" s="45">
        <v>3345147454</v>
      </c>
      <c r="Q137" s="47" t="s">
        <v>1326</v>
      </c>
      <c r="R137" s="76">
        <v>3088770396</v>
      </c>
      <c r="S137" s="49">
        <v>36351</v>
      </c>
      <c r="T137" s="49" t="s">
        <v>1327</v>
      </c>
      <c r="U137" s="48" t="s">
        <v>1327</v>
      </c>
      <c r="V137" s="48" t="s">
        <v>1328</v>
      </c>
      <c r="W137" s="39" t="s">
        <v>203</v>
      </c>
      <c r="X137" s="18">
        <v>46105</v>
      </c>
      <c r="Y137" s="13" t="s">
        <v>44</v>
      </c>
      <c r="Z137" s="61" t="s">
        <v>1329</v>
      </c>
      <c r="AA137" s="61" t="s">
        <v>1330</v>
      </c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</row>
    <row r="138" spans="1:45" ht="26.25" customHeight="1" x14ac:dyDescent="0.25">
      <c r="A138" s="38">
        <v>4</v>
      </c>
      <c r="B138" s="38" t="s">
        <v>1331</v>
      </c>
      <c r="C138" s="39" t="s">
        <v>1332</v>
      </c>
      <c r="D138" s="39" t="s">
        <v>1333</v>
      </c>
      <c r="E138" s="100" t="s">
        <v>1334</v>
      </c>
      <c r="F138" s="79" t="s">
        <v>1335</v>
      </c>
      <c r="G138" s="79" t="s">
        <v>1334</v>
      </c>
      <c r="H138" s="101" t="s">
        <v>1336</v>
      </c>
      <c r="I138" s="38" t="s">
        <v>34</v>
      </c>
      <c r="J138" s="40">
        <v>44956</v>
      </c>
      <c r="K138" s="40" t="s">
        <v>79</v>
      </c>
      <c r="L138" s="39" t="s">
        <v>1337</v>
      </c>
      <c r="M138" s="39" t="s">
        <v>81</v>
      </c>
      <c r="N138" s="39" t="s">
        <v>1338</v>
      </c>
      <c r="O138" s="15" t="str">
        <f t="shared" si="15"/>
        <v>Valid</v>
      </c>
      <c r="P138" s="53" t="s">
        <v>1339</v>
      </c>
      <c r="Q138" s="39" t="s">
        <v>1340</v>
      </c>
      <c r="R138" s="54" t="s">
        <v>1341</v>
      </c>
      <c r="S138" s="55">
        <v>34558</v>
      </c>
      <c r="T138" s="39" t="s">
        <v>1342</v>
      </c>
      <c r="U138" s="39"/>
      <c r="V138" s="38"/>
      <c r="W138" s="38"/>
      <c r="X138" s="18">
        <v>46111</v>
      </c>
      <c r="Y138" s="13" t="s">
        <v>44</v>
      </c>
      <c r="Z138" s="61" t="s">
        <v>1155</v>
      </c>
      <c r="AA138" s="61" t="s">
        <v>1343</v>
      </c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</row>
    <row r="139" spans="1:45" ht="26.25" customHeight="1" x14ac:dyDescent="0.25">
      <c r="A139" s="38">
        <v>5</v>
      </c>
      <c r="B139" s="38" t="s">
        <v>1344</v>
      </c>
      <c r="C139" s="85" t="s">
        <v>1345</v>
      </c>
      <c r="D139" s="39" t="s">
        <v>79</v>
      </c>
      <c r="E139" s="72" t="s">
        <v>462</v>
      </c>
      <c r="F139" s="73" t="s">
        <v>76</v>
      </c>
      <c r="G139" s="73" t="s">
        <v>1346</v>
      </c>
      <c r="H139" s="74" t="s">
        <v>1347</v>
      </c>
      <c r="I139" s="38" t="s">
        <v>34</v>
      </c>
      <c r="J139" s="40">
        <v>45083</v>
      </c>
      <c r="K139" s="40" t="s">
        <v>79</v>
      </c>
      <c r="L139" s="39" t="s">
        <v>1348</v>
      </c>
      <c r="M139" s="39" t="s">
        <v>81</v>
      </c>
      <c r="N139" s="39" t="s">
        <v>1349</v>
      </c>
      <c r="O139" s="15" t="str">
        <f t="shared" si="15"/>
        <v>Valid</v>
      </c>
      <c r="P139" s="38"/>
      <c r="Q139" s="38"/>
      <c r="R139" s="76"/>
      <c r="S139" s="38"/>
      <c r="T139" s="38"/>
      <c r="U139" s="38"/>
      <c r="V139" s="38"/>
      <c r="W139" s="39"/>
      <c r="X139" s="18">
        <v>46111</v>
      </c>
      <c r="Y139" s="13" t="s">
        <v>44</v>
      </c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</row>
    <row r="140" spans="1:45" ht="26.25" customHeight="1" x14ac:dyDescent="0.25">
      <c r="A140" s="38">
        <v>6</v>
      </c>
      <c r="B140" s="38" t="s">
        <v>1350</v>
      </c>
      <c r="C140" s="39" t="s">
        <v>1351</v>
      </c>
      <c r="D140" s="39" t="s">
        <v>1352</v>
      </c>
      <c r="E140" s="73" t="s">
        <v>1239</v>
      </c>
      <c r="F140" s="73" t="s">
        <v>1240</v>
      </c>
      <c r="G140" s="73" t="s">
        <v>229</v>
      </c>
      <c r="H140" s="74" t="s">
        <v>1101</v>
      </c>
      <c r="I140" s="57" t="s">
        <v>34</v>
      </c>
      <c r="J140" s="40">
        <v>45994</v>
      </c>
      <c r="K140" s="40">
        <v>46084</v>
      </c>
      <c r="L140" s="39" t="s">
        <v>1353</v>
      </c>
      <c r="M140" s="39" t="s">
        <v>64</v>
      </c>
      <c r="N140" s="99" t="s">
        <v>1354</v>
      </c>
      <c r="O140" s="15" t="str">
        <f t="shared" si="15"/>
        <v>Valid</v>
      </c>
      <c r="P140" s="45">
        <v>3269218057</v>
      </c>
      <c r="Q140" s="47" t="s">
        <v>1355</v>
      </c>
      <c r="R140" s="76">
        <v>3123590333</v>
      </c>
      <c r="S140" s="49">
        <v>38468</v>
      </c>
      <c r="T140" s="49" t="s">
        <v>1356</v>
      </c>
      <c r="U140" s="48" t="s">
        <v>1356</v>
      </c>
      <c r="V140" s="48" t="s">
        <v>1357</v>
      </c>
      <c r="W140" s="39" t="s">
        <v>225</v>
      </c>
      <c r="X140" s="18">
        <v>46084</v>
      </c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</row>
    <row r="141" spans="1:45" ht="26.25" customHeight="1" x14ac:dyDescent="0.25">
      <c r="A141" s="38">
        <v>7</v>
      </c>
      <c r="B141" s="38" t="s">
        <v>1358</v>
      </c>
      <c r="C141" s="39" t="s">
        <v>1359</v>
      </c>
      <c r="D141" s="39" t="s">
        <v>1360</v>
      </c>
      <c r="E141" s="73" t="s">
        <v>1239</v>
      </c>
      <c r="F141" s="73" t="s">
        <v>1240</v>
      </c>
      <c r="G141" s="73" t="s">
        <v>229</v>
      </c>
      <c r="H141" s="74" t="s">
        <v>1101</v>
      </c>
      <c r="I141" s="57" t="s">
        <v>34</v>
      </c>
      <c r="J141" s="40">
        <v>45994</v>
      </c>
      <c r="K141" s="40">
        <v>46084</v>
      </c>
      <c r="L141" s="39" t="s">
        <v>1361</v>
      </c>
      <c r="M141" s="39" t="s">
        <v>64</v>
      </c>
      <c r="N141" s="39" t="s">
        <v>1362</v>
      </c>
      <c r="O141" s="15" t="str">
        <f t="shared" si="15"/>
        <v>Valid</v>
      </c>
      <c r="P141" s="45">
        <v>3123435461</v>
      </c>
      <c r="Q141" s="47" t="s">
        <v>1363</v>
      </c>
      <c r="R141" s="76">
        <v>3322863912</v>
      </c>
      <c r="S141" s="49">
        <v>38936</v>
      </c>
      <c r="T141" s="49" t="s">
        <v>1364</v>
      </c>
      <c r="U141" s="48" t="s">
        <v>1364</v>
      </c>
      <c r="V141" s="48" t="s">
        <v>134</v>
      </c>
      <c r="W141" s="39" t="s">
        <v>203</v>
      </c>
      <c r="X141" s="18">
        <v>46084</v>
      </c>
      <c r="Y141" s="13" t="s">
        <v>1365</v>
      </c>
      <c r="Z141" s="61" t="s">
        <v>79</v>
      </c>
      <c r="AA141" s="61" t="s">
        <v>79</v>
      </c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</row>
    <row r="142" spans="1:45" ht="26.25" customHeight="1" x14ac:dyDescent="0.25">
      <c r="A142" s="38">
        <v>8</v>
      </c>
      <c r="B142" s="38" t="s">
        <v>1366</v>
      </c>
      <c r="C142" s="39" t="s">
        <v>1367</v>
      </c>
      <c r="D142" s="39" t="s">
        <v>1368</v>
      </c>
      <c r="E142" s="73" t="s">
        <v>1239</v>
      </c>
      <c r="F142" s="73" t="s">
        <v>1240</v>
      </c>
      <c r="G142" s="73" t="s">
        <v>229</v>
      </c>
      <c r="H142" s="74" t="s">
        <v>1101</v>
      </c>
      <c r="I142" s="57" t="s">
        <v>34</v>
      </c>
      <c r="J142" s="40">
        <v>45994</v>
      </c>
      <c r="K142" s="40">
        <v>46084</v>
      </c>
      <c r="L142" s="39" t="s">
        <v>1369</v>
      </c>
      <c r="M142" s="39" t="s">
        <v>1370</v>
      </c>
      <c r="N142" s="39" t="s">
        <v>1371</v>
      </c>
      <c r="O142" s="15" t="str">
        <f t="shared" si="15"/>
        <v>Valid</v>
      </c>
      <c r="P142" s="45">
        <v>3323105701</v>
      </c>
      <c r="Q142" s="47" t="s">
        <v>1372</v>
      </c>
      <c r="R142" s="76">
        <v>3322800650</v>
      </c>
      <c r="S142" s="49">
        <v>37814</v>
      </c>
      <c r="T142" s="49" t="s">
        <v>1373</v>
      </c>
      <c r="U142" s="48" t="s">
        <v>1373</v>
      </c>
      <c r="V142" s="48" t="s">
        <v>1176</v>
      </c>
      <c r="W142" s="39" t="s">
        <v>203</v>
      </c>
      <c r="X142" s="18">
        <v>46084</v>
      </c>
      <c r="Y142" s="13" t="s">
        <v>1365</v>
      </c>
      <c r="Z142" s="61" t="s">
        <v>79</v>
      </c>
      <c r="AA142" s="61" t="s">
        <v>79</v>
      </c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</row>
    <row r="143" spans="1:45" ht="26.25" customHeight="1" x14ac:dyDescent="0.25">
      <c r="A143" s="38">
        <v>9</v>
      </c>
      <c r="B143" s="38" t="s">
        <v>1374</v>
      </c>
      <c r="C143" s="39" t="s">
        <v>1375</v>
      </c>
      <c r="D143" s="39" t="s">
        <v>1376</v>
      </c>
      <c r="E143" s="73" t="s">
        <v>1239</v>
      </c>
      <c r="F143" s="73" t="s">
        <v>1240</v>
      </c>
      <c r="G143" s="73" t="s">
        <v>229</v>
      </c>
      <c r="H143" s="74" t="s">
        <v>1101</v>
      </c>
      <c r="I143" s="57" t="s">
        <v>34</v>
      </c>
      <c r="J143" s="40">
        <v>45994</v>
      </c>
      <c r="K143" s="40">
        <v>46084</v>
      </c>
      <c r="L143" s="39" t="s">
        <v>1377</v>
      </c>
      <c r="M143" s="39" t="s">
        <v>1370</v>
      </c>
      <c r="N143" s="39" t="s">
        <v>1378</v>
      </c>
      <c r="O143" s="15" t="str">
        <f t="shared" si="15"/>
        <v>Valid</v>
      </c>
      <c r="P143" s="45">
        <v>3111369481</v>
      </c>
      <c r="Q143" s="47" t="s">
        <v>1379</v>
      </c>
      <c r="R143" s="76">
        <v>3003151595</v>
      </c>
      <c r="S143" s="49">
        <v>37646</v>
      </c>
      <c r="T143" s="49" t="s">
        <v>1380</v>
      </c>
      <c r="U143" s="48" t="s">
        <v>1381</v>
      </c>
      <c r="V143" s="48" t="s">
        <v>1382</v>
      </c>
      <c r="W143" s="39" t="s">
        <v>56</v>
      </c>
      <c r="X143" s="18">
        <v>46084</v>
      </c>
      <c r="Y143" s="13" t="s">
        <v>1365</v>
      </c>
      <c r="Z143" s="61" t="s">
        <v>79</v>
      </c>
      <c r="AA143" s="61" t="s">
        <v>79</v>
      </c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</row>
    <row r="144" spans="1:45" ht="26.25" customHeight="1" thickBot="1" x14ac:dyDescent="0.3">
      <c r="A144" s="38">
        <v>10</v>
      </c>
      <c r="B144" s="38" t="s">
        <v>1383</v>
      </c>
      <c r="C144" s="39" t="s">
        <v>1384</v>
      </c>
      <c r="D144" s="39" t="s">
        <v>1385</v>
      </c>
      <c r="E144" s="73" t="s">
        <v>1239</v>
      </c>
      <c r="F144" s="73" t="s">
        <v>1240</v>
      </c>
      <c r="G144" s="73" t="s">
        <v>229</v>
      </c>
      <c r="H144" s="74" t="s">
        <v>1101</v>
      </c>
      <c r="I144" s="57" t="s">
        <v>34</v>
      </c>
      <c r="J144" s="40">
        <v>45945</v>
      </c>
      <c r="K144" s="40">
        <v>46037</v>
      </c>
      <c r="L144" s="39" t="s">
        <v>1386</v>
      </c>
      <c r="M144" s="39" t="s">
        <v>51</v>
      </c>
      <c r="N144" s="39" t="s">
        <v>1387</v>
      </c>
      <c r="O144" s="15" t="str">
        <f t="shared" si="15"/>
        <v>Valid</v>
      </c>
      <c r="P144" s="45">
        <v>3430921721</v>
      </c>
      <c r="Q144" s="47" t="s">
        <v>1388</v>
      </c>
      <c r="R144" s="76">
        <v>3013584205</v>
      </c>
      <c r="S144" s="49">
        <v>37645</v>
      </c>
      <c r="T144" s="49" t="s">
        <v>1389</v>
      </c>
      <c r="U144" s="48" t="s">
        <v>1389</v>
      </c>
      <c r="V144" s="48" t="s">
        <v>1390</v>
      </c>
      <c r="W144" s="39" t="s">
        <v>43</v>
      </c>
      <c r="X144" s="18">
        <v>46037</v>
      </c>
      <c r="Y144" s="13" t="s">
        <v>1365</v>
      </c>
      <c r="Z144" s="61" t="s">
        <v>79</v>
      </c>
      <c r="AA144" s="61" t="s">
        <v>79</v>
      </c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</row>
    <row r="145" spans="1:45" ht="31.25" customHeight="1" thickBot="1" x14ac:dyDescent="0.6">
      <c r="A145" s="8">
        <v>46113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</row>
    <row r="146" spans="1:45" ht="27.75" customHeight="1" x14ac:dyDescent="0.25">
      <c r="A146" s="38">
        <v>1</v>
      </c>
      <c r="B146" s="38" t="s">
        <v>1391</v>
      </c>
      <c r="C146" s="60" t="s">
        <v>1392</v>
      </c>
      <c r="D146" s="48" t="s">
        <v>1393</v>
      </c>
      <c r="E146" s="39" t="s">
        <v>30</v>
      </c>
      <c r="F146" s="39" t="s">
        <v>31</v>
      </c>
      <c r="G146" s="39" t="s">
        <v>60</v>
      </c>
      <c r="H146" s="38" t="s">
        <v>1394</v>
      </c>
      <c r="I146" s="38" t="s">
        <v>34</v>
      </c>
      <c r="J146" s="40">
        <v>45607</v>
      </c>
      <c r="K146" s="40">
        <v>45727</v>
      </c>
      <c r="L146" s="39" t="s">
        <v>1395</v>
      </c>
      <c r="M146" s="39" t="s">
        <v>64</v>
      </c>
      <c r="N146" s="39" t="s">
        <v>1396</v>
      </c>
      <c r="O146" s="15" t="str">
        <f t="shared" ref="O146:O149" si="16">IF(LEN(N146)=24, "Valid", "Invalid - Must be 24 digits")</f>
        <v>Valid</v>
      </c>
      <c r="P146" s="39" t="s">
        <v>1397</v>
      </c>
      <c r="Q146" s="48" t="s">
        <v>1398</v>
      </c>
      <c r="R146" s="76" t="s">
        <v>1399</v>
      </c>
      <c r="S146" s="49">
        <v>34568</v>
      </c>
      <c r="T146" s="48" t="s">
        <v>1400</v>
      </c>
      <c r="U146" s="48" t="s">
        <v>1401</v>
      </c>
      <c r="V146" s="48" t="s">
        <v>1402</v>
      </c>
      <c r="W146" s="39" t="s">
        <v>114</v>
      </c>
      <c r="X146" s="18">
        <v>46114</v>
      </c>
      <c r="Y146" s="13" t="s">
        <v>44</v>
      </c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</row>
    <row r="147" spans="1:45" ht="26.25" customHeight="1" x14ac:dyDescent="0.25">
      <c r="A147" s="38">
        <v>2</v>
      </c>
      <c r="B147" s="38" t="s">
        <v>1403</v>
      </c>
      <c r="C147" s="39" t="s">
        <v>1404</v>
      </c>
      <c r="D147" s="39" t="s">
        <v>1405</v>
      </c>
      <c r="E147" s="73" t="s">
        <v>1203</v>
      </c>
      <c r="F147" s="73" t="s">
        <v>1204</v>
      </c>
      <c r="G147" s="73" t="s">
        <v>619</v>
      </c>
      <c r="H147" s="38" t="s">
        <v>1406</v>
      </c>
      <c r="I147" s="44" t="s">
        <v>62</v>
      </c>
      <c r="J147" s="40">
        <v>46051</v>
      </c>
      <c r="K147" s="40">
        <v>46141</v>
      </c>
      <c r="L147" s="39" t="s">
        <v>1407</v>
      </c>
      <c r="M147" s="39" t="s">
        <v>1408</v>
      </c>
      <c r="N147" s="46" t="s">
        <v>1409</v>
      </c>
      <c r="O147" s="15" t="str">
        <f t="shared" si="16"/>
        <v>Valid</v>
      </c>
      <c r="P147" s="45">
        <v>3369017464</v>
      </c>
      <c r="Q147" s="47" t="s">
        <v>1410</v>
      </c>
      <c r="R147" s="76">
        <v>3339128095</v>
      </c>
      <c r="S147" s="49">
        <v>38077</v>
      </c>
      <c r="T147" s="49" t="s">
        <v>1411</v>
      </c>
      <c r="U147" s="48" t="s">
        <v>1412</v>
      </c>
      <c r="V147" s="48" t="s">
        <v>1413</v>
      </c>
      <c r="W147" s="39" t="s">
        <v>43</v>
      </c>
      <c r="X147" s="18">
        <v>46115</v>
      </c>
      <c r="Y147" s="13" t="s">
        <v>44</v>
      </c>
      <c r="Z147" s="61" t="s">
        <v>1414</v>
      </c>
      <c r="AA147" s="61" t="s">
        <v>1415</v>
      </c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</row>
    <row r="148" spans="1:45" ht="26.25" customHeight="1" x14ac:dyDescent="0.25">
      <c r="A148" s="38">
        <v>3</v>
      </c>
      <c r="B148" s="38" t="s">
        <v>1416</v>
      </c>
      <c r="C148" s="39" t="s">
        <v>1417</v>
      </c>
      <c r="D148" s="39" t="s">
        <v>1418</v>
      </c>
      <c r="E148" s="97" t="s">
        <v>1203</v>
      </c>
      <c r="F148" s="73" t="s">
        <v>1204</v>
      </c>
      <c r="G148" s="73" t="s">
        <v>619</v>
      </c>
      <c r="H148" s="38" t="s">
        <v>1406</v>
      </c>
      <c r="I148" s="44" t="s">
        <v>62</v>
      </c>
      <c r="J148" s="40">
        <v>46083</v>
      </c>
      <c r="K148" s="40">
        <v>46175</v>
      </c>
      <c r="L148" s="39" t="s">
        <v>1419</v>
      </c>
      <c r="M148" s="39"/>
      <c r="N148" s="46"/>
      <c r="O148" s="15" t="str">
        <f t="shared" si="16"/>
        <v>Invalid - Must be 24 digits</v>
      </c>
      <c r="P148" s="45">
        <v>301480058</v>
      </c>
      <c r="Q148" s="47" t="s">
        <v>1420</v>
      </c>
      <c r="R148" s="76">
        <v>3365749604</v>
      </c>
      <c r="S148" s="49">
        <v>39005</v>
      </c>
      <c r="T148" s="49" t="s">
        <v>1421</v>
      </c>
      <c r="U148" s="48" t="s">
        <v>1422</v>
      </c>
      <c r="V148" s="48" t="s">
        <v>1413</v>
      </c>
      <c r="W148" s="39"/>
      <c r="X148" s="18">
        <v>46115</v>
      </c>
      <c r="Y148" s="13" t="s">
        <v>44</v>
      </c>
      <c r="Z148" s="61" t="s">
        <v>1423</v>
      </c>
      <c r="AA148" s="61">
        <v>3349449602</v>
      </c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</row>
    <row r="149" spans="1:45" ht="26.25" customHeight="1" x14ac:dyDescent="0.25">
      <c r="A149" s="38">
        <v>4</v>
      </c>
      <c r="B149" s="52" t="s">
        <v>1424</v>
      </c>
      <c r="C149" s="39" t="s">
        <v>569</v>
      </c>
      <c r="D149" s="39" t="s">
        <v>570</v>
      </c>
      <c r="E149" s="73" t="s">
        <v>1305</v>
      </c>
      <c r="F149" s="73" t="s">
        <v>1306</v>
      </c>
      <c r="G149" s="39" t="s">
        <v>1307</v>
      </c>
      <c r="H149" s="74" t="s">
        <v>1425</v>
      </c>
      <c r="I149" s="44" t="s">
        <v>62</v>
      </c>
      <c r="J149" s="40">
        <v>46041</v>
      </c>
      <c r="K149" s="40">
        <v>46131</v>
      </c>
      <c r="L149" s="40" t="s">
        <v>572</v>
      </c>
      <c r="M149" s="39" t="s">
        <v>379</v>
      </c>
      <c r="N149" s="39" t="s">
        <v>573</v>
      </c>
      <c r="O149" s="15" t="str">
        <f t="shared" si="16"/>
        <v>Valid</v>
      </c>
      <c r="P149" s="45">
        <v>3328773458</v>
      </c>
      <c r="Q149" s="47" t="s">
        <v>574</v>
      </c>
      <c r="R149" s="76">
        <v>3328773458</v>
      </c>
      <c r="S149" s="49">
        <v>35711</v>
      </c>
      <c r="T149" s="49" t="s">
        <v>575</v>
      </c>
      <c r="U149" s="48" t="s">
        <v>575</v>
      </c>
      <c r="V149" s="48" t="s">
        <v>576</v>
      </c>
      <c r="W149" s="48" t="s">
        <v>114</v>
      </c>
      <c r="X149" s="18">
        <v>46123</v>
      </c>
      <c r="Y149" s="13" t="s">
        <v>44</v>
      </c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</row>
    <row r="150" spans="1:45" ht="26.25" customHeight="1" x14ac:dyDescent="0.25">
      <c r="A150" s="38">
        <v>5</v>
      </c>
      <c r="B150" s="38" t="s">
        <v>1426</v>
      </c>
      <c r="C150" s="39" t="s">
        <v>1427</v>
      </c>
      <c r="D150" s="39" t="s">
        <v>79</v>
      </c>
      <c r="E150" s="39" t="s">
        <v>774</v>
      </c>
      <c r="F150" s="39" t="s">
        <v>31</v>
      </c>
      <c r="G150" s="39" t="s">
        <v>1014</v>
      </c>
      <c r="H150" s="38" t="s">
        <v>1428</v>
      </c>
      <c r="I150" s="38" t="s">
        <v>34</v>
      </c>
      <c r="J150" s="40">
        <v>44860</v>
      </c>
      <c r="K150" s="40" t="s">
        <v>79</v>
      </c>
      <c r="L150" s="39" t="s">
        <v>1429</v>
      </c>
      <c r="M150" s="39" t="s">
        <v>81</v>
      </c>
      <c r="N150" s="39" t="s">
        <v>1430</v>
      </c>
      <c r="O150" s="15" t="str">
        <f>IF(LEN(N150)=24, "Valid", "Invalid - Must be 24 digits")</f>
        <v>Valid</v>
      </c>
      <c r="P150" s="38" t="s">
        <v>79</v>
      </c>
      <c r="Q150" s="38" t="s">
        <v>79</v>
      </c>
      <c r="R150" s="76" t="s">
        <v>79</v>
      </c>
      <c r="S150" s="38" t="s">
        <v>79</v>
      </c>
      <c r="T150" s="38" t="s">
        <v>79</v>
      </c>
      <c r="U150" s="38" t="s">
        <v>79</v>
      </c>
      <c r="V150" s="38" t="s">
        <v>79</v>
      </c>
      <c r="W150" s="39"/>
      <c r="X150" s="18">
        <v>46059</v>
      </c>
      <c r="Y150" s="13" t="s">
        <v>44</v>
      </c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</row>
    <row r="151" spans="1:45" ht="15.75" customHeight="1" x14ac:dyDescent="0.2"/>
    <row r="152" spans="1:45" ht="15.75" customHeight="1" x14ac:dyDescent="0.2"/>
    <row r="153" spans="1:45" ht="15.75" customHeight="1" x14ac:dyDescent="0.2"/>
    <row r="154" spans="1:45" ht="15.75" customHeight="1" x14ac:dyDescent="0.2"/>
    <row r="155" spans="1:45" ht="15.75" customHeight="1" x14ac:dyDescent="0.2"/>
    <row r="156" spans="1:45" ht="15.75" customHeight="1" x14ac:dyDescent="0.2"/>
    <row r="157" spans="1:45" ht="15.75" customHeight="1" x14ac:dyDescent="0.2"/>
    <row r="158" spans="1:45" ht="15.75" customHeight="1" x14ac:dyDescent="0.2"/>
    <row r="159" spans="1:45" ht="15.75" customHeight="1" x14ac:dyDescent="0.2"/>
    <row r="160" spans="1:45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  <row r="1001" customFormat="1" ht="15.75" customHeight="1" x14ac:dyDescent="0.2"/>
    <row r="1002" customFormat="1" ht="15.75" customHeight="1" x14ac:dyDescent="0.2"/>
    <row r="1003" customFormat="1" ht="15.75" customHeight="1" x14ac:dyDescent="0.2"/>
    <row r="1004" customFormat="1" ht="15.75" customHeight="1" x14ac:dyDescent="0.2"/>
  </sheetData>
  <mergeCells count="17">
    <mergeCell ref="A109:Y109"/>
    <mergeCell ref="A122:Y122"/>
    <mergeCell ref="A125:Y125"/>
    <mergeCell ref="A134:Y134"/>
    <mergeCell ref="A145:Y145"/>
    <mergeCell ref="A46:Y46"/>
    <mergeCell ref="A76:Y76"/>
    <mergeCell ref="A80:Y80"/>
    <mergeCell ref="A87:Y87"/>
    <mergeCell ref="A93:Y93"/>
    <mergeCell ref="A101:Y101"/>
    <mergeCell ref="A2:Y2"/>
    <mergeCell ref="A5:Y5"/>
    <mergeCell ref="A21:Y21"/>
    <mergeCell ref="A31:Y31"/>
    <mergeCell ref="Z31:AS31"/>
    <mergeCell ref="A41:Y41"/>
  </mergeCells>
  <hyperlinks>
    <hyperlink ref="Q24" r:id="rId1" xr:uid="{A6C5C0ED-A93C-9D4B-8F53-898FDB0217D7}"/>
    <hyperlink ref="Q114" r:id="rId2" xr:uid="{D0A999D1-0EA0-9344-8B0D-3F451E9B9BE4}"/>
    <hyperlink ref="V129" r:id="rId3" xr:uid="{08A1F539-2A30-9C48-8C50-71314C7A9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ali shehzad aqib</dc:creator>
  <cp:lastModifiedBy>aqib ali shehzad aqib</cp:lastModifiedBy>
  <dcterms:created xsi:type="dcterms:W3CDTF">2026-04-15T17:25:14Z</dcterms:created>
  <dcterms:modified xsi:type="dcterms:W3CDTF">2026-04-15T17:25:25Z</dcterms:modified>
</cp:coreProperties>
</file>